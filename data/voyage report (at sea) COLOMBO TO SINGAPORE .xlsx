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198\ccr\CCR\10 - SECOND OFFICER\01.  NOON REPORTS &amp; OTHER REPORTS\000000000  NOON REPORTS\2026\03-MAR-2026\28-SINGAPORE NOON AT SEA\"/>
    </mc:Choice>
  </mc:AlternateContent>
  <xr:revisionPtr revIDLastSave="0" documentId="13_ncr:1_{C86592C2-32BD-4052-95E1-D7ABB31AC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ON REPORT" sheetId="1" r:id="rId1"/>
    <sheet name="ECA" sheetId="3" state="hidden" r:id="rId2"/>
    <sheet name="SINGAPORE TIMES" sheetId="2" state="hidden" r:id="rId3"/>
  </sheets>
  <calcPr calcId="191029"/>
</workbook>
</file>

<file path=xl/calcChain.xml><?xml version="1.0" encoding="utf-8"?>
<calcChain xmlns="http://schemas.openxmlformats.org/spreadsheetml/2006/main">
  <c r="AV15" i="1" l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14" i="1"/>
  <c r="AU65" i="1" l="1"/>
  <c r="AV65" i="1"/>
  <c r="AS65" i="1"/>
  <c r="AT65" i="1"/>
  <c r="G65" i="1"/>
  <c r="F65" i="1"/>
  <c r="E65" i="1"/>
  <c r="AR64" i="1"/>
  <c r="AQ64" i="1"/>
  <c r="J64" i="1"/>
  <c r="V4" i="1" s="1"/>
  <c r="I64" i="1"/>
  <c r="AR63" i="1"/>
  <c r="AQ63" i="1"/>
  <c r="J63" i="1"/>
  <c r="I63" i="1"/>
  <c r="AR62" i="1"/>
  <c r="AQ62" i="1"/>
  <c r="J62" i="1"/>
  <c r="I62" i="1"/>
  <c r="AR61" i="1"/>
  <c r="AQ61" i="1"/>
  <c r="J61" i="1"/>
  <c r="I61" i="1"/>
  <c r="AR60" i="1"/>
  <c r="AQ60" i="1"/>
  <c r="J60" i="1"/>
  <c r="I60" i="1"/>
  <c r="AR59" i="1"/>
  <c r="AQ59" i="1"/>
  <c r="J59" i="1"/>
  <c r="I59" i="1"/>
  <c r="AR58" i="1"/>
  <c r="AQ58" i="1"/>
  <c r="J58" i="1"/>
  <c r="I58" i="1"/>
  <c r="AR57" i="1"/>
  <c r="AQ57" i="1"/>
  <c r="J57" i="1"/>
  <c r="I57" i="1"/>
  <c r="AR56" i="1"/>
  <c r="AQ56" i="1"/>
  <c r="J56" i="1"/>
  <c r="I56" i="1"/>
  <c r="AR55" i="1"/>
  <c r="AQ55" i="1"/>
  <c r="J55" i="1"/>
  <c r="I55" i="1"/>
  <c r="AR54" i="1"/>
  <c r="AQ54" i="1"/>
  <c r="J54" i="1"/>
  <c r="I54" i="1"/>
  <c r="AR53" i="1"/>
  <c r="AQ53" i="1"/>
  <c r="J53" i="1"/>
  <c r="I53" i="1"/>
  <c r="AR52" i="1"/>
  <c r="AQ52" i="1"/>
  <c r="J52" i="1"/>
  <c r="I52" i="1"/>
  <c r="AR51" i="1"/>
  <c r="AQ51" i="1"/>
  <c r="J51" i="1"/>
  <c r="I51" i="1"/>
  <c r="AR50" i="1"/>
  <c r="AQ50" i="1"/>
  <c r="J50" i="1"/>
  <c r="I50" i="1"/>
  <c r="AR49" i="1"/>
  <c r="AQ49" i="1"/>
  <c r="J49" i="1"/>
  <c r="I49" i="1"/>
  <c r="AR48" i="1"/>
  <c r="AQ48" i="1"/>
  <c r="J48" i="1"/>
  <c r="I48" i="1"/>
  <c r="AR47" i="1"/>
  <c r="AQ47" i="1"/>
  <c r="J47" i="1"/>
  <c r="I47" i="1"/>
  <c r="AR46" i="1"/>
  <c r="AQ46" i="1"/>
  <c r="J46" i="1"/>
  <c r="I46" i="1"/>
  <c r="AR45" i="1"/>
  <c r="AQ45" i="1"/>
  <c r="J45" i="1"/>
  <c r="I45" i="1"/>
  <c r="AR44" i="1"/>
  <c r="AQ44" i="1"/>
  <c r="J44" i="1"/>
  <c r="I44" i="1"/>
  <c r="AR43" i="1"/>
  <c r="AQ43" i="1"/>
  <c r="J43" i="1"/>
  <c r="I43" i="1"/>
  <c r="AR42" i="1"/>
  <c r="AQ42" i="1"/>
  <c r="J42" i="1"/>
  <c r="I42" i="1"/>
  <c r="AR41" i="1"/>
  <c r="AQ41" i="1"/>
  <c r="J41" i="1"/>
  <c r="I41" i="1"/>
  <c r="AR40" i="1"/>
  <c r="AQ40" i="1"/>
  <c r="J40" i="1"/>
  <c r="I40" i="1"/>
  <c r="AR39" i="1"/>
  <c r="AQ39" i="1"/>
  <c r="J39" i="1"/>
  <c r="I39" i="1"/>
  <c r="AR38" i="1"/>
  <c r="AQ38" i="1"/>
  <c r="J38" i="1"/>
  <c r="I38" i="1"/>
  <c r="AR37" i="1"/>
  <c r="AQ37" i="1"/>
  <c r="J37" i="1"/>
  <c r="I37" i="1"/>
  <c r="AR36" i="1"/>
  <c r="AQ36" i="1"/>
  <c r="J36" i="1"/>
  <c r="I36" i="1"/>
  <c r="AR35" i="1"/>
  <c r="AQ35" i="1"/>
  <c r="J35" i="1"/>
  <c r="I35" i="1"/>
  <c r="AR34" i="1"/>
  <c r="AQ34" i="1"/>
  <c r="J34" i="1"/>
  <c r="I34" i="1"/>
  <c r="AR33" i="1"/>
  <c r="AQ33" i="1"/>
  <c r="J33" i="1"/>
  <c r="I33" i="1"/>
  <c r="AR32" i="1"/>
  <c r="AQ32" i="1"/>
  <c r="J32" i="1"/>
  <c r="I32" i="1"/>
  <c r="AR31" i="1"/>
  <c r="AQ31" i="1"/>
  <c r="J31" i="1"/>
  <c r="I31" i="1"/>
  <c r="AR30" i="1"/>
  <c r="AQ30" i="1"/>
  <c r="J30" i="1"/>
  <c r="I30" i="1"/>
  <c r="AR29" i="1"/>
  <c r="AQ29" i="1"/>
  <c r="J29" i="1"/>
  <c r="I29" i="1"/>
  <c r="AR28" i="1"/>
  <c r="AQ28" i="1"/>
  <c r="J28" i="1"/>
  <c r="I28" i="1"/>
  <c r="AR27" i="1"/>
  <c r="AQ27" i="1"/>
  <c r="J27" i="1"/>
  <c r="I27" i="1"/>
  <c r="AR26" i="1"/>
  <c r="AQ26" i="1"/>
  <c r="J26" i="1"/>
  <c r="I26" i="1"/>
  <c r="AR25" i="1"/>
  <c r="AQ25" i="1"/>
  <c r="J25" i="1"/>
  <c r="I25" i="1"/>
  <c r="AR24" i="1"/>
  <c r="AQ24" i="1"/>
  <c r="J24" i="1"/>
  <c r="I24" i="1"/>
  <c r="AR23" i="1"/>
  <c r="AQ23" i="1"/>
  <c r="J23" i="1"/>
  <c r="I23" i="1"/>
  <c r="AR22" i="1"/>
  <c r="AQ22" i="1"/>
  <c r="J22" i="1"/>
  <c r="I22" i="1"/>
  <c r="AR21" i="1"/>
  <c r="AQ21" i="1"/>
  <c r="J21" i="1"/>
  <c r="I21" i="1"/>
  <c r="AR20" i="1"/>
  <c r="AQ20" i="1"/>
  <c r="J20" i="1"/>
  <c r="I20" i="1"/>
  <c r="AR19" i="1"/>
  <c r="AQ19" i="1"/>
  <c r="J19" i="1"/>
  <c r="I19" i="1"/>
  <c r="AR18" i="1"/>
  <c r="AQ18" i="1"/>
  <c r="J18" i="1"/>
  <c r="I18" i="1"/>
  <c r="AR17" i="1"/>
  <c r="AQ17" i="1"/>
  <c r="J17" i="1"/>
  <c r="I17" i="1"/>
  <c r="AR16" i="1"/>
  <c r="AQ16" i="1"/>
  <c r="J16" i="1"/>
  <c r="I16" i="1"/>
  <c r="AR15" i="1"/>
  <c r="AQ15" i="1"/>
  <c r="J15" i="1"/>
  <c r="I15" i="1"/>
  <c r="AR14" i="1"/>
  <c r="AQ14" i="1"/>
  <c r="AH14" i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F14" i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F34" i="1" s="1"/>
  <c r="AF35" i="1" s="1"/>
  <c r="AF36" i="1" s="1"/>
  <c r="AF37" i="1" s="1"/>
  <c r="AF38" i="1" s="1"/>
  <c r="AF39" i="1" s="1"/>
  <c r="AF40" i="1" s="1"/>
  <c r="AF41" i="1" s="1"/>
  <c r="AF42" i="1" s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D14" i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V14" i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T14" i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S14" i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R14" i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Q14" i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J14" i="1"/>
  <c r="I14" i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AB6" i="1"/>
  <c r="Z6" i="1"/>
  <c r="X6" i="1"/>
  <c r="W6" i="1"/>
  <c r="V3" i="1"/>
  <c r="AR65" i="1" l="1"/>
  <c r="AB3" i="1" s="1"/>
  <c r="AA65" i="1"/>
  <c r="Y65" i="1"/>
  <c r="V2" i="1"/>
  <c r="AQ65" i="1"/>
  <c r="AB8" i="1" l="1"/>
  <c r="X8" i="1"/>
  <c r="W8" i="1"/>
  <c r="Z8" i="1"/>
  <c r="Z7" i="1"/>
  <c r="X7" i="1"/>
  <c r="AB7" i="1"/>
  <c r="W7" i="1"/>
  <c r="AR66" i="1"/>
  <c r="AB4" i="1" s="1"/>
  <c r="AB2" i="1"/>
</calcChain>
</file>

<file path=xl/sharedStrings.xml><?xml version="1.0" encoding="utf-8"?>
<sst xmlns="http://schemas.openxmlformats.org/spreadsheetml/2006/main" count="167" uniqueCount="129">
  <si>
    <t>VESSEL     :</t>
  </si>
  <si>
    <t>FROM :</t>
  </si>
  <si>
    <t>TO :</t>
  </si>
  <si>
    <t>TTTL STMED HRS</t>
  </si>
  <si>
    <t>GOOD WX DIST</t>
  </si>
  <si>
    <t>VOY NO  :</t>
  </si>
  <si>
    <t>DEP. BERTH</t>
  </si>
  <si>
    <t>ARRV.BERTH</t>
  </si>
  <si>
    <t>TTL DISTANCE MADE</t>
  </si>
  <si>
    <t>GOOD WX STM HRS</t>
  </si>
  <si>
    <t>VOYAGE LEG :</t>
  </si>
  <si>
    <t>DLOSP TIME/DATE</t>
  </si>
  <si>
    <t>EOSP TIME / DATE</t>
  </si>
  <si>
    <t>VOYAGE AVG SPEED</t>
  </si>
  <si>
    <t>GOOD WX AVR SPEED</t>
  </si>
  <si>
    <t>CARGO    :</t>
  </si>
  <si>
    <t>COSP TIME/DATE</t>
  </si>
  <si>
    <t>POB TIME / DATE</t>
  </si>
  <si>
    <t>CARGO QTY  (MTS) :</t>
  </si>
  <si>
    <t>DRAUGHTS (M)</t>
  </si>
  <si>
    <t>LSFO</t>
  </si>
  <si>
    <t>HSFO</t>
  </si>
  <si>
    <t>LSDO</t>
  </si>
  <si>
    <t>HSDO</t>
  </si>
  <si>
    <t>CHARTERERS :</t>
  </si>
  <si>
    <t>F</t>
  </si>
  <si>
    <t>M</t>
  </si>
  <si>
    <t>A</t>
  </si>
  <si>
    <t>wind&amp;sea</t>
  </si>
  <si>
    <t>DAY</t>
  </si>
  <si>
    <t xml:space="preserve">Date </t>
  </si>
  <si>
    <t>NOON POSITION</t>
  </si>
  <si>
    <t>STEAMED</t>
  </si>
  <si>
    <t>Distance To Go</t>
  </si>
  <si>
    <t xml:space="preserve">Av.
Speed (Daily) </t>
  </si>
  <si>
    <r>
      <t>Av.    Speed (</t>
    </r>
    <r>
      <rPr>
        <b/>
        <sz val="11"/>
        <rFont val="Calibri"/>
        <family val="2"/>
        <charset val="162"/>
        <scheme val="minor"/>
      </rPr>
      <t>Voyage</t>
    </r>
    <r>
      <rPr>
        <b/>
        <sz val="12"/>
        <rFont val="Calibri"/>
        <family val="2"/>
        <charset val="162"/>
        <scheme val="minor"/>
      </rPr>
      <t>)</t>
    </r>
  </si>
  <si>
    <t>Daily Av.
Rpm</t>
  </si>
  <si>
    <t>Slip</t>
  </si>
  <si>
    <t>BUNKER CONSUMPTION</t>
  </si>
  <si>
    <t>BUNKERS
R.O.B</t>
  </si>
  <si>
    <t>FW</t>
  </si>
  <si>
    <t>NOON COURSE</t>
  </si>
  <si>
    <t>WIND</t>
  </si>
  <si>
    <t>SEA</t>
  </si>
  <si>
    <t xml:space="preserve">Cylinder Oil </t>
  </si>
  <si>
    <t>System Oil</t>
  </si>
  <si>
    <t>D/G    Oil</t>
  </si>
  <si>
    <t>REMARKS</t>
  </si>
  <si>
    <t>Lat.</t>
  </si>
  <si>
    <t>Long.</t>
  </si>
  <si>
    <t>Hrs</t>
  </si>
  <si>
    <t>Min</t>
  </si>
  <si>
    <t>Distance made</t>
  </si>
  <si>
    <t>IFO</t>
  </si>
  <si>
    <t>MDO</t>
  </si>
  <si>
    <t>CONS</t>
  </si>
  <si>
    <t>ROB</t>
  </si>
  <si>
    <t>Direction</t>
  </si>
  <si>
    <t>Force</t>
  </si>
  <si>
    <t>TOTAL</t>
  </si>
  <si>
    <t>BUNKERS</t>
  </si>
  <si>
    <t>TTL CONSUMPTION</t>
  </si>
  <si>
    <t>DAILY AVERAGE</t>
  </si>
  <si>
    <t>GOOD WX DAILY  AVERAGE</t>
  </si>
  <si>
    <t>ETA to PORT</t>
  </si>
  <si>
    <t>10@EOSP-1230lt/POB-1825lt/Drop anchor - 1920lt / POFF -2000lt</t>
  </si>
  <si>
    <t>Arrival Condition FWE : LSMFO : 279.87MT/LSMGO : 236.40MT</t>
  </si>
  <si>
    <t>-536.061mt VLSFO Delivered/Supply bunker.</t>
  </si>
  <si>
    <t>11@ POB - 0240lt/Anchor Aweigh - 0310lt/POFF-0335lt/COSP-0430lt</t>
  </si>
  <si>
    <t>Departure Condition:LSMFO  :814,62 mt//LSMGO : 236,40 mt</t>
  </si>
  <si>
    <t xml:space="preserve">ETA Next Port             :  Qinzhou/China 15jan2022 pm hrs </t>
  </si>
  <si>
    <t>15/01/2022 (GMT +8)</t>
  </si>
  <si>
    <t>17:00 LT //09:00 UTC(GMT +8) -NOTICE TO ENG.ROOM FOR ECA CHANGE OVER.</t>
  </si>
  <si>
    <t>(GPS 20˚ 05.6N / 108˚14.7E) (ROB VLSFO 691 .84 mts /LSMGO 236.4 mts)</t>
  </si>
  <si>
    <t>18:00 LT //10:00 UTC(GMT +8) –START FUEL CHANGE OVER CHANGED OVER FROM VLSFO TO LSMGO</t>
  </si>
  <si>
    <t>(GPS 20˚17.6N/108 14.7E ) (ROB VLSFO 690.8 mts/LSMGO 236.4 mts)</t>
  </si>
  <si>
    <t>18:50 LT// 10:50UTC(GMT +8)  - FUEL CHANGE OVER COMPLETED.</t>
  </si>
  <si>
    <t>(GPS 20˚28.2N/108 13.7E) (ROB VLSFO 690.8 mts LSMGO 235.78 mts)</t>
  </si>
  <si>
    <t>20:00 LT //12:00UTC (GMT +8) - VESSEL ENTERING ECA</t>
  </si>
  <si>
    <t>(GPS 20˚42.5N/108˚18.5E) (ROB VLSFO 690.8 mts/LSMGO 234.43mts)</t>
  </si>
  <si>
    <t>VAF VALUES</t>
  </si>
  <si>
    <t>M/E KW</t>
  </si>
  <si>
    <t>M/E (CONS.) MTONS</t>
  </si>
  <si>
    <t>D/G (CONS.) MTONS</t>
  </si>
  <si>
    <t>BOILER (CONS.) MTONS</t>
  </si>
  <si>
    <t>D/G WORKING HRS.</t>
  </si>
  <si>
    <t>D/G 1</t>
  </si>
  <si>
    <t>D/G 2</t>
  </si>
  <si>
    <t>D/G 3</t>
  </si>
  <si>
    <t>OCEAN DESTINY</t>
  </si>
  <si>
    <t>COSP</t>
  </si>
  <si>
    <t>3</t>
  </si>
  <si>
    <t>FALCON</t>
  </si>
  <si>
    <t>02/26</t>
  </si>
  <si>
    <t>IRON ORE FINES</t>
  </si>
  <si>
    <t>COLOMBO, SRI LANKA</t>
  </si>
  <si>
    <t>25.03.2026 1015LT</t>
  </si>
  <si>
    <t>06 30.8N</t>
  </si>
  <si>
    <t>079 41.2E</t>
  </si>
  <si>
    <t>162</t>
  </si>
  <si>
    <t>31.03.2026</t>
  </si>
  <si>
    <t>COLOMBO TO SINGAPORE</t>
  </si>
  <si>
    <t>SINGAPORE</t>
  </si>
  <si>
    <t>25.03.2026 0905LT</t>
  </si>
  <si>
    <t>01</t>
  </si>
  <si>
    <t>25.03.2026</t>
  </si>
  <si>
    <t>S</t>
  </si>
  <si>
    <t>COLOMBO TO SINGAPORE. SE'LY 2 MTR SWELL. 0.4 KTS ADVERSE CURRENT</t>
  </si>
  <si>
    <t>02</t>
  </si>
  <si>
    <t>26.03.2026</t>
  </si>
  <si>
    <t>05 49.7N</t>
  </si>
  <si>
    <t>083 02.4E</t>
  </si>
  <si>
    <t>087</t>
  </si>
  <si>
    <t>ENE</t>
  </si>
  <si>
    <t>01.04.2026 0030LT</t>
  </si>
  <si>
    <t>COLOMBO TO SINGAPORE. SE'LY 2 MTR SWELL. 1.0 KTS ADVERSE CURRENT. BETWEEN 2000-0400LT, VESSEL ENCOUNTERED BFT 5-4.</t>
  </si>
  <si>
    <t>03</t>
  </si>
  <si>
    <t>27.03.2026</t>
  </si>
  <si>
    <t>06 02.9N</t>
  </si>
  <si>
    <t>086 57.9E</t>
  </si>
  <si>
    <t>NE</t>
  </si>
  <si>
    <t>01.04.2026 0630LT</t>
  </si>
  <si>
    <t xml:space="preserve">COLOMBO TO SINGAPORE. SE'LY 2 MTR SWELL. 1.0 KTS ADVERSE CURRENT. </t>
  </si>
  <si>
    <t>04</t>
  </si>
  <si>
    <t>28.03.2026</t>
  </si>
  <si>
    <t>06 16.3N</t>
  </si>
  <si>
    <t>090 55.1E</t>
  </si>
  <si>
    <t>01.04.2026 0600LT</t>
  </si>
  <si>
    <t xml:space="preserve">COLOMBO TO SINGAPORE. SE'LY 2 MTR SWELL. 0.6 KTS ADVERSE CURRENT.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</si>
</sst>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00"/>
    <numFmt numFmtId="166" formatCode="dd/mm/yyyy;@"/>
  </numFmts>
  <fonts count="12" x14ac:knownFonts="1">
    <font>
      <sz val="1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10"/>
      <color theme="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2"/>
      <name val="Arial"/>
      <family val="2"/>
      <charset val="162"/>
    </font>
    <font>
      <sz val="10"/>
      <color theme="0" tint="-0.499984740745262"/>
      <name val="Calibri"/>
      <family val="2"/>
      <charset val="16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3B90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8E0A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5" fillId="3" borderId="6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3" borderId="6" xfId="0" applyFont="1" applyFill="1" applyBorder="1" applyAlignment="1">
      <alignment vertical="justify" wrapText="1"/>
    </xf>
    <xf numFmtId="0" fontId="4" fillId="2" borderId="19" xfId="0" applyFont="1" applyFill="1" applyBorder="1" applyAlignment="1">
      <alignment horizontal="center" vertical="center" wrapText="1"/>
    </xf>
    <xf numFmtId="4" fontId="5" fillId="0" borderId="20" xfId="0" applyNumberFormat="1" applyFont="1" applyBorder="1" applyAlignment="1" applyProtection="1">
      <alignment vertical="center" wrapText="1"/>
      <protection locked="0"/>
    </xf>
    <xf numFmtId="0" fontId="4" fillId="2" borderId="20" xfId="0" applyFont="1" applyFill="1" applyBorder="1" applyAlignment="1">
      <alignment horizontal="center" vertical="center" wrapText="1"/>
    </xf>
    <xf numFmtId="4" fontId="5" fillId="0" borderId="22" xfId="0" applyNumberFormat="1" applyFont="1" applyBorder="1" applyAlignment="1" applyProtection="1">
      <alignment vertical="center" wrapText="1"/>
      <protection locked="0"/>
    </xf>
    <xf numFmtId="0" fontId="4" fillId="2" borderId="2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/>
    <xf numFmtId="0" fontId="7" fillId="0" borderId="28" xfId="0" applyFont="1" applyBorder="1"/>
    <xf numFmtId="0" fontId="10" fillId="0" borderId="0" xfId="0" applyFont="1"/>
    <xf numFmtId="0" fontId="8" fillId="10" borderId="19" xfId="0" applyFont="1" applyFill="1" applyBorder="1" applyAlignment="1" applyProtection="1">
      <alignment horizontal="center" vertical="center"/>
      <protection locked="0"/>
    </xf>
    <xf numFmtId="0" fontId="8" fillId="10" borderId="20" xfId="0" applyFont="1" applyFill="1" applyBorder="1" applyAlignment="1" applyProtection="1">
      <alignment horizontal="center" vertical="center"/>
      <protection locked="0"/>
    </xf>
    <xf numFmtId="0" fontId="8" fillId="11" borderId="20" xfId="0" applyFont="1" applyFill="1" applyBorder="1" applyAlignment="1" applyProtection="1">
      <alignment horizontal="center" vertical="center"/>
      <protection locked="0"/>
    </xf>
    <xf numFmtId="0" fontId="8" fillId="11" borderId="21" xfId="0" applyFont="1" applyFill="1" applyBorder="1" applyAlignment="1" applyProtection="1">
      <alignment horizontal="center" vertic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5" fillId="0" borderId="48" xfId="0" applyFont="1" applyBorder="1" applyAlignment="1" applyProtection="1">
      <alignment horizontal="center"/>
      <protection locked="0"/>
    </xf>
    <xf numFmtId="0" fontId="5" fillId="0" borderId="49" xfId="0" applyFont="1" applyBorder="1" applyAlignment="1" applyProtection="1">
      <alignment horizontal="center"/>
      <protection locked="0"/>
    </xf>
    <xf numFmtId="164" fontId="4" fillId="0" borderId="53" xfId="0" applyNumberFormat="1" applyFont="1" applyBorder="1" applyAlignment="1" applyProtection="1">
      <alignment horizontal="center"/>
      <protection locked="0"/>
    </xf>
    <xf numFmtId="2" fontId="4" fillId="0" borderId="55" xfId="0" applyNumberFormat="1" applyFont="1" applyBorder="1" applyAlignment="1" applyProtection="1">
      <alignment horizontal="center"/>
      <protection locked="0"/>
    </xf>
    <xf numFmtId="2" fontId="4" fillId="0" borderId="56" xfId="0" applyNumberFormat="1" applyFont="1" applyBorder="1" applyAlignment="1" applyProtection="1">
      <alignment horizontal="center"/>
      <protection locked="0"/>
    </xf>
    <xf numFmtId="2" fontId="4" fillId="3" borderId="54" xfId="0" applyNumberFormat="1" applyFont="1" applyFill="1" applyBorder="1" applyAlignment="1" applyProtection="1">
      <alignment horizontal="center"/>
      <protection locked="0"/>
    </xf>
    <xf numFmtId="2" fontId="4" fillId="0" borderId="53" xfId="0" applyNumberFormat="1" applyFont="1" applyBorder="1" applyAlignment="1" applyProtection="1">
      <alignment horizontal="center"/>
      <protection locked="0"/>
    </xf>
    <xf numFmtId="49" fontId="5" fillId="0" borderId="53" xfId="0" applyNumberFormat="1" applyFont="1" applyBorder="1" applyAlignment="1" applyProtection="1">
      <alignment horizontal="center"/>
      <protection locked="0"/>
    </xf>
    <xf numFmtId="49" fontId="5" fillId="3" borderId="23" xfId="0" applyNumberFormat="1" applyFont="1" applyFill="1" applyBorder="1" applyAlignment="1" applyProtection="1">
      <alignment horizontal="center"/>
      <protection locked="0"/>
    </xf>
    <xf numFmtId="0" fontId="4" fillId="0" borderId="56" xfId="0" applyFont="1" applyBorder="1" applyProtection="1">
      <protection locked="0"/>
    </xf>
    <xf numFmtId="0" fontId="4" fillId="0" borderId="54" xfId="0" applyFont="1" applyBorder="1" applyProtection="1">
      <protection locked="0"/>
    </xf>
    <xf numFmtId="49" fontId="5" fillId="0" borderId="16" xfId="0" applyNumberFormat="1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  <protection locked="0"/>
    </xf>
    <xf numFmtId="164" fontId="5" fillId="4" borderId="57" xfId="0" applyNumberFormat="1" applyFont="1" applyFill="1" applyBorder="1" applyAlignment="1">
      <alignment horizontal="center"/>
    </xf>
    <xf numFmtId="4" fontId="4" fillId="14" borderId="48" xfId="0" applyNumberFormat="1" applyFont="1" applyFill="1" applyBorder="1" applyAlignment="1">
      <alignment horizontal="center"/>
    </xf>
    <xf numFmtId="4" fontId="5" fillId="14" borderId="58" xfId="0" applyNumberFormat="1" applyFont="1" applyFill="1" applyBorder="1" applyAlignment="1">
      <alignment horizontal="center"/>
    </xf>
    <xf numFmtId="2" fontId="5" fillId="10" borderId="47" xfId="0" applyNumberFormat="1" applyFont="1" applyFill="1" applyBorder="1" applyAlignment="1">
      <alignment horizontal="center"/>
    </xf>
    <xf numFmtId="2" fontId="5" fillId="10" borderId="48" xfId="0" applyNumberFormat="1" applyFont="1" applyFill="1" applyBorder="1" applyAlignment="1">
      <alignment horizontal="center"/>
    </xf>
    <xf numFmtId="2" fontId="5" fillId="11" borderId="48" xfId="0" applyNumberFormat="1" applyFont="1" applyFill="1" applyBorder="1" applyAlignment="1">
      <alignment horizontal="center"/>
    </xf>
    <xf numFmtId="2" fontId="5" fillId="11" borderId="58" xfId="0" applyNumberFormat="1" applyFont="1" applyFill="1" applyBorder="1" applyAlignment="1">
      <alignment horizontal="center"/>
    </xf>
    <xf numFmtId="4" fontId="5" fillId="0" borderId="47" xfId="0" applyNumberFormat="1" applyFont="1" applyBorder="1" applyAlignment="1" applyProtection="1">
      <alignment horizontal="center"/>
      <protection locked="0"/>
    </xf>
    <xf numFmtId="2" fontId="5" fillId="12" borderId="49" xfId="0" applyNumberFormat="1" applyFont="1" applyFill="1" applyBorder="1" applyAlignment="1">
      <alignment horizontal="center"/>
    </xf>
    <xf numFmtId="0" fontId="5" fillId="9" borderId="48" xfId="0" applyFont="1" applyFill="1" applyBorder="1"/>
    <xf numFmtId="0" fontId="5" fillId="0" borderId="48" xfId="0" applyFont="1" applyBorder="1" applyProtection="1">
      <protection locked="0"/>
    </xf>
    <xf numFmtId="0" fontId="5" fillId="9" borderId="58" xfId="0" applyFont="1" applyFill="1" applyBorder="1"/>
    <xf numFmtId="2" fontId="0" fillId="0" borderId="0" xfId="0" applyNumberFormat="1"/>
    <xf numFmtId="1" fontId="5" fillId="0" borderId="16" xfId="0" applyNumberFormat="1" applyFont="1" applyBorder="1" applyAlignment="1" applyProtection="1">
      <alignment horizontal="center"/>
      <protection locked="0"/>
    </xf>
    <xf numFmtId="1" fontId="5" fillId="0" borderId="17" xfId="0" applyNumberFormat="1" applyFont="1" applyBorder="1" applyAlignment="1" applyProtection="1">
      <alignment horizontal="center"/>
      <protection locked="0"/>
    </xf>
    <xf numFmtId="164" fontId="5" fillId="0" borderId="18" xfId="0" applyNumberFormat="1" applyFont="1" applyBorder="1" applyAlignment="1" applyProtection="1">
      <alignment horizontal="center"/>
      <protection locked="0"/>
    </xf>
    <xf numFmtId="164" fontId="5" fillId="4" borderId="15" xfId="0" applyNumberFormat="1" applyFont="1" applyFill="1" applyBorder="1" applyAlignment="1">
      <alignment horizontal="center"/>
    </xf>
    <xf numFmtId="4" fontId="4" fillId="14" borderId="17" xfId="0" applyNumberFormat="1" applyFont="1" applyFill="1" applyBorder="1" applyAlignment="1">
      <alignment horizontal="center"/>
    </xf>
    <xf numFmtId="4" fontId="5" fillId="14" borderId="13" xfId="0" applyNumberFormat="1" applyFont="1" applyFill="1" applyBorder="1" applyAlignment="1">
      <alignment horizontal="center"/>
    </xf>
    <xf numFmtId="0" fontId="5" fillId="0" borderId="16" xfId="0" applyFont="1" applyBorder="1" applyAlignment="1" applyProtection="1">
      <alignment horizontal="center"/>
      <protection locked="0"/>
    </xf>
    <xf numFmtId="2" fontId="5" fillId="0" borderId="15" xfId="0" applyNumberFormat="1" applyFont="1" applyBorder="1" applyAlignment="1" applyProtection="1">
      <alignment horizontal="center"/>
      <protection locked="0"/>
    </xf>
    <xf numFmtId="2" fontId="4" fillId="0" borderId="17" xfId="0" applyNumberFormat="1" applyFont="1" applyBorder="1" applyAlignment="1" applyProtection="1">
      <alignment horizontal="center"/>
      <protection locked="0"/>
    </xf>
    <xf numFmtId="2" fontId="5" fillId="0" borderId="17" xfId="0" applyNumberFormat="1" applyFont="1" applyBorder="1" applyAlignment="1" applyProtection="1">
      <alignment horizontal="center"/>
      <protection locked="0"/>
    </xf>
    <xf numFmtId="2" fontId="4" fillId="0" borderId="13" xfId="0" applyNumberFormat="1" applyFont="1" applyBorder="1" applyAlignment="1" applyProtection="1">
      <alignment horizontal="center"/>
      <protection locked="0"/>
    </xf>
    <xf numFmtId="2" fontId="5" fillId="10" borderId="16" xfId="0" applyNumberFormat="1" applyFont="1" applyFill="1" applyBorder="1" applyAlignment="1">
      <alignment horizontal="center"/>
    </xf>
    <xf numFmtId="2" fontId="5" fillId="10" borderId="17" xfId="0" applyNumberFormat="1" applyFont="1" applyFill="1" applyBorder="1" applyAlignment="1">
      <alignment horizontal="center"/>
    </xf>
    <xf numFmtId="2" fontId="5" fillId="11" borderId="17" xfId="0" applyNumberFormat="1" applyFont="1" applyFill="1" applyBorder="1" applyAlignment="1">
      <alignment horizontal="center"/>
    </xf>
    <xf numFmtId="2" fontId="5" fillId="11" borderId="13" xfId="0" applyNumberFormat="1" applyFont="1" applyFill="1" applyBorder="1" applyAlignment="1">
      <alignment horizontal="center"/>
    </xf>
    <xf numFmtId="4" fontId="5" fillId="0" borderId="16" xfId="0" applyNumberFormat="1" applyFont="1" applyBorder="1" applyAlignment="1" applyProtection="1">
      <alignment horizontal="center"/>
      <protection locked="0"/>
    </xf>
    <xf numFmtId="2" fontId="5" fillId="12" borderId="18" xfId="0" applyNumberFormat="1" applyFont="1" applyFill="1" applyBorder="1" applyAlignment="1">
      <alignment horizontal="center"/>
    </xf>
    <xf numFmtId="0" fontId="5" fillId="0" borderId="16" xfId="0" applyFont="1" applyBorder="1" applyProtection="1">
      <protection locked="0"/>
    </xf>
    <xf numFmtId="0" fontId="5" fillId="9" borderId="17" xfId="0" applyFont="1" applyFill="1" applyBorder="1"/>
    <xf numFmtId="0" fontId="5" fillId="0" borderId="17" xfId="0" applyFont="1" applyBorder="1" applyProtection="1">
      <protection locked="0"/>
    </xf>
    <xf numFmtId="0" fontId="5" fillId="9" borderId="13" xfId="0" applyFont="1" applyFill="1" applyBorder="1"/>
    <xf numFmtId="0" fontId="5" fillId="0" borderId="18" xfId="0" applyFont="1" applyBorder="1" applyProtection="1">
      <protection locked="0"/>
    </xf>
    <xf numFmtId="1" fontId="5" fillId="0" borderId="16" xfId="0" applyNumberFormat="1" applyFont="1" applyBorder="1" applyProtection="1">
      <protection locked="0"/>
    </xf>
    <xf numFmtId="1" fontId="5" fillId="0" borderId="17" xfId="0" applyNumberFormat="1" applyFont="1" applyBorder="1" applyProtection="1">
      <protection locked="0"/>
    </xf>
    <xf numFmtId="164" fontId="5" fillId="0" borderId="18" xfId="0" applyNumberFormat="1" applyFont="1" applyBorder="1" applyProtection="1">
      <protection locked="0"/>
    </xf>
    <xf numFmtId="0" fontId="5" fillId="0" borderId="15" xfId="0" applyFont="1" applyBorder="1" applyProtection="1">
      <protection locked="0"/>
    </xf>
    <xf numFmtId="0" fontId="4" fillId="0" borderId="17" xfId="0" applyFont="1" applyBorder="1" applyProtection="1">
      <protection locked="0"/>
    </xf>
    <xf numFmtId="0" fontId="4" fillId="0" borderId="13" xfId="0" applyFont="1" applyBorder="1" applyProtection="1">
      <protection locked="0"/>
    </xf>
    <xf numFmtId="49" fontId="5" fillId="0" borderId="12" xfId="0" applyNumberFormat="1" applyFont="1" applyBorder="1" applyProtection="1">
      <protection locked="0"/>
    </xf>
    <xf numFmtId="49" fontId="5" fillId="0" borderId="19" xfId="0" applyNumberFormat="1" applyFont="1" applyBorder="1" applyAlignment="1" applyProtection="1">
      <alignment horizontal="center"/>
      <protection locked="0"/>
    </xf>
    <xf numFmtId="14" fontId="5" fillId="0" borderId="20" xfId="0" applyNumberFormat="1" applyFont="1" applyBorder="1" applyAlignment="1" applyProtection="1">
      <alignment horizontal="center"/>
      <protection locked="0"/>
    </xf>
    <xf numFmtId="0" fontId="5" fillId="0" borderId="20" xfId="0" applyFont="1" applyBorder="1" applyProtection="1">
      <protection locked="0"/>
    </xf>
    <xf numFmtId="0" fontId="5" fillId="0" borderId="22" xfId="0" applyFont="1" applyBorder="1" applyProtection="1">
      <protection locked="0"/>
    </xf>
    <xf numFmtId="1" fontId="5" fillId="0" borderId="19" xfId="0" applyNumberFormat="1" applyFont="1" applyBorder="1" applyProtection="1">
      <protection locked="0"/>
    </xf>
    <xf numFmtId="1" fontId="5" fillId="0" borderId="20" xfId="0" applyNumberFormat="1" applyFont="1" applyBorder="1" applyProtection="1">
      <protection locked="0"/>
    </xf>
    <xf numFmtId="164" fontId="5" fillId="0" borderId="22" xfId="0" applyNumberFormat="1" applyFont="1" applyBorder="1" applyProtection="1">
      <protection locked="0"/>
    </xf>
    <xf numFmtId="4" fontId="4" fillId="15" borderId="20" xfId="0" applyNumberFormat="1" applyFont="1" applyFill="1" applyBorder="1" applyAlignment="1">
      <alignment horizontal="center"/>
    </xf>
    <xf numFmtId="4" fontId="5" fillId="16" borderId="21" xfId="0" applyNumberFormat="1" applyFont="1" applyFill="1" applyBorder="1" applyAlignment="1">
      <alignment horizontal="center"/>
    </xf>
    <xf numFmtId="0" fontId="5" fillId="0" borderId="59" xfId="0" applyFont="1" applyBorder="1" applyProtection="1">
      <protection locked="0"/>
    </xf>
    <xf numFmtId="0" fontId="5" fillId="0" borderId="27" xfId="0" applyFont="1" applyBorder="1" applyProtection="1">
      <protection locked="0"/>
    </xf>
    <xf numFmtId="0" fontId="4" fillId="0" borderId="20" xfId="0" applyFont="1" applyBorder="1" applyProtection="1">
      <protection locked="0"/>
    </xf>
    <xf numFmtId="0" fontId="4" fillId="0" borderId="21" xfId="0" applyFont="1" applyBorder="1" applyProtection="1">
      <protection locked="0"/>
    </xf>
    <xf numFmtId="2" fontId="5" fillId="10" borderId="19" xfId="0" applyNumberFormat="1" applyFont="1" applyFill="1" applyBorder="1" applyAlignment="1">
      <alignment horizontal="center"/>
    </xf>
    <xf numFmtId="2" fontId="5" fillId="10" borderId="20" xfId="0" applyNumberFormat="1" applyFont="1" applyFill="1" applyBorder="1" applyAlignment="1">
      <alignment horizontal="center"/>
    </xf>
    <xf numFmtId="2" fontId="5" fillId="11" borderId="20" xfId="0" applyNumberFormat="1" applyFont="1" applyFill="1" applyBorder="1" applyAlignment="1">
      <alignment horizontal="center"/>
    </xf>
    <xf numFmtId="2" fontId="5" fillId="11" borderId="21" xfId="0" applyNumberFormat="1" applyFont="1" applyFill="1" applyBorder="1" applyAlignment="1">
      <alignment horizontal="center"/>
    </xf>
    <xf numFmtId="0" fontId="5" fillId="0" borderId="19" xfId="0" applyFont="1" applyBorder="1" applyProtection="1">
      <protection locked="0"/>
    </xf>
    <xf numFmtId="0" fontId="5" fillId="0" borderId="20" xfId="0" applyFont="1" applyBorder="1" applyAlignment="1" applyProtection="1">
      <alignment horizontal="center"/>
      <protection locked="0"/>
    </xf>
    <xf numFmtId="0" fontId="5" fillId="0" borderId="22" xfId="0" applyFont="1" applyBorder="1" applyAlignment="1" applyProtection="1">
      <alignment horizontal="center"/>
      <protection locked="0"/>
    </xf>
    <xf numFmtId="49" fontId="5" fillId="0" borderId="25" xfId="0" applyNumberFormat="1" applyFont="1" applyBorder="1" applyProtection="1">
      <protection locked="0"/>
    </xf>
    <xf numFmtId="0" fontId="5" fillId="9" borderId="20" xfId="0" applyFont="1" applyFill="1" applyBorder="1"/>
    <xf numFmtId="0" fontId="4" fillId="0" borderId="48" xfId="0" applyFont="1" applyBorder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" fontId="4" fillId="17" borderId="41" xfId="0" applyNumberFormat="1" applyFont="1" applyFill="1" applyBorder="1"/>
    <xf numFmtId="1" fontId="4" fillId="17" borderId="42" xfId="0" applyNumberFormat="1" applyFont="1" applyFill="1" applyBorder="1"/>
    <xf numFmtId="164" fontId="4" fillId="17" borderId="43" xfId="0" applyNumberFormat="1" applyFont="1" applyFill="1" applyBorder="1"/>
    <xf numFmtId="0" fontId="4" fillId="3" borderId="10" xfId="0" applyFont="1" applyFill="1" applyBorder="1"/>
    <xf numFmtId="0" fontId="4" fillId="17" borderId="46" xfId="0" applyFont="1" applyFill="1" applyBorder="1" applyAlignment="1">
      <alignment horizontal="center"/>
    </xf>
    <xf numFmtId="2" fontId="5" fillId="0" borderId="9" xfId="0" applyNumberFormat="1" applyFont="1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2" fontId="5" fillId="0" borderId="37" xfId="0" applyNumberFormat="1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 wrapText="1"/>
    </xf>
    <xf numFmtId="2" fontId="5" fillId="3" borderId="17" xfId="0" applyNumberFormat="1" applyFont="1" applyFill="1" applyBorder="1" applyAlignment="1">
      <alignment horizontal="center" vertical="center" wrapText="1"/>
    </xf>
    <xf numFmtId="2" fontId="5" fillId="3" borderId="18" xfId="0" applyNumberFormat="1" applyFont="1" applyFill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/>
    </xf>
    <xf numFmtId="2" fontId="5" fillId="0" borderId="20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0" fontId="7" fillId="3" borderId="28" xfId="0" applyFont="1" applyFill="1" applyBorder="1"/>
    <xf numFmtId="4" fontId="5" fillId="13" borderId="54" xfId="0" applyNumberFormat="1" applyFont="1" applyFill="1" applyBorder="1" applyAlignment="1">
      <alignment horizontal="center"/>
    </xf>
    <xf numFmtId="4" fontId="5" fillId="13" borderId="53" xfId="0" applyNumberFormat="1" applyFont="1" applyFill="1" applyBorder="1" applyAlignment="1">
      <alignment horizontal="center"/>
    </xf>
    <xf numFmtId="0" fontId="5" fillId="13" borderId="55" xfId="0" applyFont="1" applyFill="1" applyBorder="1"/>
    <xf numFmtId="0" fontId="4" fillId="13" borderId="56" xfId="0" applyFont="1" applyFill="1" applyBorder="1"/>
    <xf numFmtId="0" fontId="4" fillId="0" borderId="53" xfId="0" applyFont="1" applyBorder="1" applyProtection="1">
      <protection locked="0"/>
    </xf>
    <xf numFmtId="0" fontId="4" fillId="0" borderId="52" xfId="0" applyFont="1" applyBorder="1" applyProtection="1">
      <protection locked="0"/>
    </xf>
    <xf numFmtId="0" fontId="5" fillId="0" borderId="28" xfId="0" applyFont="1" applyBorder="1"/>
    <xf numFmtId="49" fontId="5" fillId="0" borderId="14" xfId="0" applyNumberFormat="1" applyFont="1" applyBorder="1" applyProtection="1">
      <protection locked="0"/>
    </xf>
    <xf numFmtId="49" fontId="5" fillId="0" borderId="26" xfId="0" applyNumberFormat="1" applyFont="1" applyBorder="1" applyProtection="1">
      <protection locked="0"/>
    </xf>
    <xf numFmtId="49" fontId="5" fillId="3" borderId="53" xfId="0" applyNumberFormat="1" applyFont="1" applyFill="1" applyBorder="1" applyAlignment="1" applyProtection="1">
      <alignment horizontal="center"/>
      <protection locked="0"/>
    </xf>
    <xf numFmtId="2" fontId="5" fillId="0" borderId="57" xfId="0" applyNumberFormat="1" applyFont="1" applyBorder="1" applyAlignment="1" applyProtection="1">
      <alignment horizontal="center"/>
      <protection locked="0"/>
    </xf>
    <xf numFmtId="2" fontId="4" fillId="0" borderId="48" xfId="0" applyNumberFormat="1" applyFont="1" applyBorder="1" applyAlignment="1" applyProtection="1">
      <alignment horizontal="center"/>
      <protection locked="0"/>
    </xf>
    <xf numFmtId="2" fontId="5" fillId="0" borderId="48" xfId="0" applyNumberFormat="1" applyFont="1" applyBorder="1" applyAlignment="1" applyProtection="1">
      <alignment horizontal="center"/>
      <protection locked="0"/>
    </xf>
    <xf numFmtId="2" fontId="4" fillId="0" borderId="58" xfId="0" applyNumberFormat="1" applyFont="1" applyBorder="1" applyAlignment="1" applyProtection="1">
      <alignment horizontal="center"/>
      <protection locked="0"/>
    </xf>
    <xf numFmtId="0" fontId="4" fillId="0" borderId="51" xfId="0" applyFont="1" applyBorder="1" applyProtection="1">
      <protection locked="0"/>
    </xf>
    <xf numFmtId="49" fontId="5" fillId="0" borderId="48" xfId="0" applyNumberFormat="1" applyFont="1" applyBorder="1" applyProtection="1">
      <protection locked="0"/>
    </xf>
    <xf numFmtId="1" fontId="5" fillId="0" borderId="15" xfId="0" applyNumberFormat="1" applyFont="1" applyBorder="1" applyAlignment="1" applyProtection="1">
      <alignment horizontal="center"/>
      <protection locked="0"/>
    </xf>
    <xf numFmtId="14" fontId="5" fillId="0" borderId="17" xfId="0" applyNumberFormat="1" applyFont="1" applyBorder="1" applyAlignment="1" applyProtection="1">
      <alignment horizontal="center"/>
      <protection locked="0"/>
    </xf>
    <xf numFmtId="49" fontId="5" fillId="0" borderId="17" xfId="0" applyNumberFormat="1" applyFont="1" applyBorder="1" applyAlignment="1" applyProtection="1">
      <alignment horizontal="center"/>
      <protection locked="0"/>
    </xf>
    <xf numFmtId="166" fontId="5" fillId="0" borderId="48" xfId="0" applyNumberFormat="1" applyFont="1" applyBorder="1" applyAlignment="1" applyProtection="1">
      <alignment horizontal="center"/>
      <protection locked="0"/>
    </xf>
    <xf numFmtId="0" fontId="5" fillId="0" borderId="58" xfId="0" applyFont="1" applyBorder="1" applyProtection="1">
      <protection locked="0"/>
    </xf>
    <xf numFmtId="49" fontId="5" fillId="0" borderId="53" xfId="0" applyNumberFormat="1" applyFont="1" applyBorder="1" applyProtection="1">
      <protection locked="0"/>
    </xf>
    <xf numFmtId="49" fontId="5" fillId="0" borderId="14" xfId="0" applyNumberFormat="1" applyFont="1" applyBorder="1" applyAlignment="1" applyProtection="1">
      <alignment wrapText="1"/>
      <protection locked="0"/>
    </xf>
    <xf numFmtId="0" fontId="5" fillId="2" borderId="7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2" fontId="5" fillId="3" borderId="8" xfId="0" applyNumberFormat="1" applyFont="1" applyFill="1" applyBorder="1" applyAlignment="1">
      <alignment horizontal="center" vertical="center" wrapText="1"/>
    </xf>
    <xf numFmtId="2" fontId="5" fillId="3" borderId="3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49" fontId="5" fillId="3" borderId="13" xfId="0" applyNumberFormat="1" applyFont="1" applyFill="1" applyBorder="1" applyAlignment="1" applyProtection="1">
      <alignment horizontal="left" vertical="center"/>
      <protection locked="0"/>
    </xf>
    <xf numFmtId="49" fontId="5" fillId="3" borderId="12" xfId="0" applyNumberFormat="1" applyFont="1" applyFill="1" applyBorder="1" applyAlignment="1" applyProtection="1">
      <alignment horizontal="left" vertical="center"/>
      <protection locked="0"/>
    </xf>
    <xf numFmtId="49" fontId="5" fillId="3" borderId="14" xfId="0" applyNumberFormat="1" applyFont="1" applyFill="1" applyBorder="1" applyAlignment="1" applyProtection="1">
      <alignment horizontal="left" vertical="center"/>
      <protection locked="0"/>
    </xf>
    <xf numFmtId="0" fontId="5" fillId="2" borderId="11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 applyProtection="1">
      <alignment horizontal="left" vertical="center" wrapText="1"/>
      <protection locked="0"/>
    </xf>
    <xf numFmtId="0" fontId="3" fillId="3" borderId="2" xfId="0" applyFont="1" applyFill="1" applyBorder="1" applyAlignment="1" applyProtection="1">
      <alignment horizontal="left" vertical="center" wrapText="1"/>
      <protection locked="0"/>
    </xf>
    <xf numFmtId="0" fontId="3" fillId="3" borderId="4" xfId="0" applyFont="1" applyFill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164" fontId="5" fillId="3" borderId="17" xfId="0" applyNumberFormat="1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22" fontId="2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59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 vertical="center"/>
    </xf>
    <xf numFmtId="4" fontId="5" fillId="3" borderId="36" xfId="0" applyNumberFormat="1" applyFont="1" applyFill="1" applyBorder="1" applyAlignment="1">
      <alignment horizontal="center" vertical="center" wrapText="1"/>
    </xf>
    <xf numFmtId="0" fontId="5" fillId="3" borderId="60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left" vertical="center" wrapText="1"/>
    </xf>
    <xf numFmtId="165" fontId="5" fillId="3" borderId="13" xfId="0" applyNumberFormat="1" applyFont="1" applyFill="1" applyBorder="1" applyAlignment="1" applyProtection="1">
      <alignment horizontal="left" vertical="center"/>
      <protection locked="0"/>
    </xf>
    <xf numFmtId="165" fontId="5" fillId="3" borderId="12" xfId="0" applyNumberFormat="1" applyFont="1" applyFill="1" applyBorder="1" applyAlignment="1" applyProtection="1">
      <alignment horizontal="left" vertical="center"/>
      <protection locked="0"/>
    </xf>
    <xf numFmtId="165" fontId="5" fillId="3" borderId="14" xfId="0" applyNumberFormat="1" applyFont="1" applyFill="1" applyBorder="1" applyAlignment="1" applyProtection="1">
      <alignment horizontal="left" vertical="center"/>
      <protection locked="0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8" fillId="7" borderId="29" xfId="0" applyFont="1" applyFill="1" applyBorder="1" applyAlignment="1" applyProtection="1">
      <alignment horizontal="center" wrapText="1"/>
      <protection locked="0"/>
    </xf>
    <xf numFmtId="0" fontId="8" fillId="7" borderId="34" xfId="0" applyFont="1" applyFill="1" applyBorder="1" applyAlignment="1" applyProtection="1">
      <alignment horizontal="center" wrapText="1"/>
      <protection locked="0"/>
    </xf>
    <xf numFmtId="0" fontId="8" fillId="7" borderId="41" xfId="0" applyFont="1" applyFill="1" applyBorder="1" applyAlignment="1" applyProtection="1">
      <alignment horizontal="center" wrapText="1"/>
      <protection locked="0"/>
    </xf>
    <xf numFmtId="0" fontId="8" fillId="7" borderId="30" xfId="0" applyFont="1" applyFill="1" applyBorder="1" applyAlignment="1" applyProtection="1">
      <alignment horizontal="center" wrapText="1"/>
      <protection locked="0"/>
    </xf>
    <xf numFmtId="0" fontId="8" fillId="7" borderId="35" xfId="0" applyFont="1" applyFill="1" applyBorder="1" applyAlignment="1" applyProtection="1">
      <alignment horizontal="center" wrapText="1"/>
      <protection locked="0"/>
    </xf>
    <xf numFmtId="0" fontId="8" fillId="7" borderId="42" xfId="0" applyFont="1" applyFill="1" applyBorder="1" applyAlignment="1" applyProtection="1">
      <alignment horizontal="center" wrapText="1"/>
      <protection locked="0"/>
    </xf>
    <xf numFmtId="0" fontId="8" fillId="7" borderId="8" xfId="0" applyFont="1" applyFill="1" applyBorder="1" applyAlignment="1" applyProtection="1">
      <alignment horizontal="center" vertical="center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/>
      <protection locked="0"/>
    </xf>
    <xf numFmtId="0" fontId="8" fillId="7" borderId="2" xfId="0" applyFont="1" applyFill="1" applyBorder="1" applyAlignment="1" applyProtection="1">
      <alignment horizontal="center" vertical="center"/>
      <protection locked="0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8" fillId="7" borderId="31" xfId="0" applyFont="1" applyFill="1" applyBorder="1" applyAlignment="1" applyProtection="1">
      <alignment horizontal="center" vertical="center" wrapText="1"/>
      <protection locked="0"/>
    </xf>
    <xf numFmtId="0" fontId="8" fillId="7" borderId="38" xfId="0" applyFont="1" applyFill="1" applyBorder="1" applyAlignment="1" applyProtection="1">
      <alignment horizontal="center" vertical="center" wrapText="1"/>
      <protection locked="0"/>
    </xf>
    <xf numFmtId="0" fontId="8" fillId="7" borderId="44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8" fillId="12" borderId="16" xfId="0" applyFont="1" applyFill="1" applyBorder="1" applyAlignment="1" applyProtection="1">
      <alignment horizontal="center" vertical="center"/>
      <protection locked="0"/>
    </xf>
    <xf numFmtId="0" fontId="8" fillId="12" borderId="19" xfId="0" applyFont="1" applyFill="1" applyBorder="1" applyAlignment="1" applyProtection="1">
      <alignment horizontal="center" vertical="center"/>
      <protection locked="0"/>
    </xf>
    <xf numFmtId="0" fontId="8" fillId="12" borderId="18" xfId="0" applyFont="1" applyFill="1" applyBorder="1" applyAlignment="1" applyProtection="1">
      <alignment horizontal="center" vertical="center"/>
      <protection locked="0"/>
    </xf>
    <xf numFmtId="0" fontId="8" fillId="12" borderId="22" xfId="0" applyFont="1" applyFill="1" applyBorder="1" applyAlignment="1" applyProtection="1">
      <alignment horizontal="center" vertical="center"/>
      <protection locked="0"/>
    </xf>
    <xf numFmtId="0" fontId="8" fillId="9" borderId="3" xfId="0" applyFont="1" applyFill="1" applyBorder="1" applyAlignment="1" applyProtection="1">
      <alignment horizontal="center" vertical="center" wrapText="1"/>
      <protection locked="0"/>
    </xf>
    <xf numFmtId="0" fontId="8" fillId="9" borderId="5" xfId="0" applyFont="1" applyFill="1" applyBorder="1" applyAlignment="1" applyProtection="1">
      <alignment horizontal="center" vertical="center" wrapText="1"/>
      <protection locked="0"/>
    </xf>
    <xf numFmtId="0" fontId="8" fillId="9" borderId="17" xfId="0" applyFont="1" applyFill="1" applyBorder="1" applyAlignment="1" applyProtection="1">
      <alignment horizontal="center" vertical="center"/>
      <protection locked="0"/>
    </xf>
    <xf numFmtId="0" fontId="8" fillId="9" borderId="20" xfId="0" applyFont="1" applyFill="1" applyBorder="1" applyAlignment="1" applyProtection="1">
      <alignment horizontal="center" vertical="center"/>
      <protection locked="0"/>
    </xf>
    <xf numFmtId="0" fontId="8" fillId="9" borderId="36" xfId="0" applyFont="1" applyFill="1" applyBorder="1" applyAlignment="1" applyProtection="1">
      <alignment horizontal="center" vertical="center"/>
      <protection locked="0"/>
    </xf>
    <xf numFmtId="0" fontId="8" fillId="9" borderId="42" xfId="0" applyFont="1" applyFill="1" applyBorder="1" applyAlignment="1" applyProtection="1">
      <alignment horizontal="center" vertical="center"/>
      <protection locked="0"/>
    </xf>
    <xf numFmtId="0" fontId="8" fillId="9" borderId="35" xfId="0" applyFont="1" applyFill="1" applyBorder="1" applyAlignment="1" applyProtection="1">
      <alignment horizontal="center" vertical="center"/>
      <protection locked="0"/>
    </xf>
    <xf numFmtId="0" fontId="5" fillId="7" borderId="19" xfId="0" applyFont="1" applyFill="1" applyBorder="1" applyAlignment="1">
      <alignment horizontal="left" vertical="center"/>
    </xf>
    <xf numFmtId="0" fontId="5" fillId="7" borderId="20" xfId="0" applyFont="1" applyFill="1" applyBorder="1" applyAlignment="1">
      <alignment horizontal="left" vertical="center"/>
    </xf>
    <xf numFmtId="2" fontId="5" fillId="0" borderId="20" xfId="0" applyNumberFormat="1" applyFont="1" applyBorder="1" applyAlignment="1">
      <alignment horizontal="center" vertical="center"/>
    </xf>
    <xf numFmtId="0" fontId="8" fillId="9" borderId="2" xfId="0" applyFont="1" applyFill="1" applyBorder="1" applyAlignment="1" applyProtection="1">
      <alignment horizontal="center" vertical="center" wrapText="1"/>
      <protection locked="0"/>
    </xf>
    <xf numFmtId="0" fontId="5" fillId="7" borderId="16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8" fillId="7" borderId="7" xfId="0" applyFont="1" applyFill="1" applyBorder="1" applyAlignment="1" applyProtection="1">
      <alignment horizontal="center" vertical="center"/>
      <protection locked="0"/>
    </xf>
    <xf numFmtId="0" fontId="2" fillId="2" borderId="24" xfId="0" applyFont="1" applyFill="1" applyBorder="1" applyAlignment="1">
      <alignment horizontal="left" vertical="center" wrapText="1"/>
    </xf>
    <xf numFmtId="0" fontId="2" fillId="2" borderId="25" xfId="0" applyFont="1" applyFill="1" applyBorder="1" applyAlignment="1">
      <alignment horizontal="left" vertical="center" wrapText="1"/>
    </xf>
    <xf numFmtId="0" fontId="8" fillId="9" borderId="15" xfId="0" applyFont="1" applyFill="1" applyBorder="1" applyAlignment="1" applyProtection="1">
      <alignment horizontal="center" vertical="center" wrapText="1"/>
      <protection locked="0"/>
    </xf>
    <xf numFmtId="0" fontId="8" fillId="9" borderId="27" xfId="0" applyFont="1" applyFill="1" applyBorder="1" applyAlignment="1" applyProtection="1">
      <alignment horizontal="center" vertical="center" wrapText="1"/>
      <protection locked="0"/>
    </xf>
    <xf numFmtId="0" fontId="9" fillId="0" borderId="17" xfId="0" applyFont="1" applyBorder="1" applyAlignment="1" applyProtection="1">
      <alignment horizontal="center" textRotation="90" readingOrder="1"/>
      <protection locked="0"/>
    </xf>
    <xf numFmtId="0" fontId="9" fillId="0" borderId="20" xfId="0" applyFont="1" applyBorder="1" applyAlignment="1" applyProtection="1">
      <alignment horizontal="center" textRotation="90" readingOrder="1"/>
      <protection locked="0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9" fillId="0" borderId="13" xfId="0" applyFont="1" applyBorder="1" applyAlignment="1" applyProtection="1">
      <alignment horizontal="center" textRotation="90" readingOrder="1"/>
      <protection locked="0"/>
    </xf>
    <xf numFmtId="0" fontId="9" fillId="0" borderId="21" xfId="0" applyFont="1" applyBorder="1" applyAlignment="1" applyProtection="1">
      <alignment horizontal="center" textRotation="90" readingOrder="1"/>
      <protection locked="0"/>
    </xf>
    <xf numFmtId="0" fontId="8" fillId="7" borderId="61" xfId="0" applyFont="1" applyFill="1" applyBorder="1" applyAlignment="1">
      <alignment horizontal="center" vertical="center"/>
    </xf>
    <xf numFmtId="0" fontId="8" fillId="7" borderId="62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horizontal="center" vertical="center"/>
    </xf>
    <xf numFmtId="0" fontId="8" fillId="7" borderId="17" xfId="0" applyFont="1" applyFill="1" applyBorder="1" applyAlignment="1" applyProtection="1">
      <alignment horizontal="center" vertical="center"/>
      <protection locked="0"/>
    </xf>
    <xf numFmtId="0" fontId="8" fillId="7" borderId="20" xfId="0" applyFont="1" applyFill="1" applyBorder="1" applyAlignment="1" applyProtection="1">
      <alignment horizontal="center" vertical="center"/>
      <protection locked="0"/>
    </xf>
    <xf numFmtId="0" fontId="8" fillId="7" borderId="18" xfId="0" applyFont="1" applyFill="1" applyBorder="1" applyAlignment="1" applyProtection="1">
      <alignment horizontal="center" vertical="center"/>
      <protection locked="0"/>
    </xf>
    <xf numFmtId="0" fontId="8" fillId="7" borderId="22" xfId="0" applyFont="1" applyFill="1" applyBorder="1" applyAlignment="1" applyProtection="1">
      <alignment horizontal="center" vertical="center"/>
      <protection locked="0"/>
    </xf>
    <xf numFmtId="0" fontId="8" fillId="7" borderId="16" xfId="0" applyFont="1" applyFill="1" applyBorder="1" applyAlignment="1" applyProtection="1">
      <alignment horizontal="center" vertical="center"/>
      <protection locked="0"/>
    </xf>
    <xf numFmtId="0" fontId="8" fillId="7" borderId="19" xfId="0" applyFont="1" applyFill="1" applyBorder="1" applyAlignment="1" applyProtection="1">
      <alignment horizontal="center" vertical="center"/>
      <protection locked="0"/>
    </xf>
    <xf numFmtId="0" fontId="8" fillId="7" borderId="36" xfId="0" applyFont="1" applyFill="1" applyBorder="1" applyAlignment="1" applyProtection="1">
      <alignment horizontal="center" vertical="center"/>
      <protection locked="0"/>
    </xf>
    <xf numFmtId="0" fontId="8" fillId="7" borderId="42" xfId="0" applyFont="1" applyFill="1" applyBorder="1" applyAlignment="1" applyProtection="1">
      <alignment horizontal="center" vertical="center"/>
      <protection locked="0"/>
    </xf>
    <xf numFmtId="0" fontId="8" fillId="7" borderId="37" xfId="0" applyFont="1" applyFill="1" applyBorder="1" applyAlignment="1" applyProtection="1">
      <alignment horizontal="center" vertical="center" wrapText="1"/>
      <protection locked="0"/>
    </xf>
    <xf numFmtId="0" fontId="8" fillId="7" borderId="43" xfId="0" applyFont="1" applyFill="1" applyBorder="1" applyAlignment="1" applyProtection="1">
      <alignment horizontal="center" vertical="center" wrapText="1"/>
      <protection locked="0"/>
    </xf>
    <xf numFmtId="0" fontId="8" fillId="10" borderId="16" xfId="0" applyFont="1" applyFill="1" applyBorder="1" applyAlignment="1" applyProtection="1">
      <alignment horizontal="center" vertical="center"/>
      <protection locked="0"/>
    </xf>
    <xf numFmtId="0" fontId="8" fillId="10" borderId="17" xfId="0" applyFont="1" applyFill="1" applyBorder="1" applyAlignment="1" applyProtection="1">
      <alignment horizontal="center" vertical="center"/>
      <protection locked="0"/>
    </xf>
    <xf numFmtId="0" fontId="8" fillId="11" borderId="17" xfId="0" applyFont="1" applyFill="1" applyBorder="1" applyAlignment="1" applyProtection="1">
      <alignment horizontal="center" vertical="center"/>
      <protection locked="0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7" borderId="16" xfId="0" applyFont="1" applyFill="1" applyBorder="1" applyAlignment="1" applyProtection="1">
      <alignment horizontal="center" vertical="center" wrapText="1"/>
      <protection locked="0"/>
    </xf>
    <xf numFmtId="0" fontId="8" fillId="7" borderId="19" xfId="0" applyFont="1" applyFill="1" applyBorder="1" applyAlignment="1" applyProtection="1">
      <alignment horizontal="center" vertical="center" wrapText="1"/>
      <protection locked="0"/>
    </xf>
    <xf numFmtId="0" fontId="8" fillId="7" borderId="3" xfId="0" applyFont="1" applyFill="1" applyBorder="1" applyAlignment="1" applyProtection="1">
      <alignment horizontal="center" vertical="center"/>
      <protection locked="0"/>
    </xf>
    <xf numFmtId="0" fontId="8" fillId="8" borderId="33" xfId="0" applyFont="1" applyFill="1" applyBorder="1" applyAlignment="1" applyProtection="1">
      <alignment horizontal="center" vertical="center" wrapText="1"/>
      <protection locked="0"/>
    </xf>
    <xf numFmtId="0" fontId="8" fillId="8" borderId="40" xfId="0" applyFont="1" applyFill="1" applyBorder="1" applyAlignment="1" applyProtection="1">
      <alignment horizontal="center" vertical="center" wrapText="1"/>
      <protection locked="0"/>
    </xf>
    <xf numFmtId="0" fontId="8" fillId="8" borderId="46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 applyProtection="1">
      <alignment horizontal="center" vertical="center" wrapText="1"/>
      <protection locked="0"/>
    </xf>
    <xf numFmtId="0" fontId="8" fillId="9" borderId="39" xfId="0" applyFont="1" applyFill="1" applyBorder="1" applyAlignment="1" applyProtection="1">
      <alignment horizontal="center" vertical="center"/>
      <protection locked="0"/>
    </xf>
    <xf numFmtId="0" fontId="8" fillId="9" borderId="45" xfId="0" applyFont="1" applyFill="1" applyBorder="1" applyAlignment="1" applyProtection="1">
      <alignment horizontal="center" vertical="center"/>
      <protection locked="0"/>
    </xf>
    <xf numFmtId="0" fontId="8" fillId="7" borderId="8" xfId="0" applyFont="1" applyFill="1" applyBorder="1" applyAlignment="1" applyProtection="1">
      <alignment horizontal="center" vertical="center" wrapText="1"/>
      <protection locked="0"/>
    </xf>
    <xf numFmtId="0" fontId="8" fillId="7" borderId="3" xfId="0" applyFont="1" applyFill="1" applyBorder="1" applyAlignment="1" applyProtection="1">
      <alignment horizontal="center" vertical="center" wrapText="1"/>
      <protection locked="0"/>
    </xf>
    <xf numFmtId="0" fontId="8" fillId="11" borderId="13" xfId="0" applyFont="1" applyFill="1" applyBorder="1" applyAlignment="1" applyProtection="1">
      <alignment horizontal="center" vertical="center"/>
      <protection locked="0"/>
    </xf>
    <xf numFmtId="0" fontId="8" fillId="7" borderId="17" xfId="0" applyFont="1" applyFill="1" applyBorder="1" applyAlignment="1" applyProtection="1">
      <alignment horizontal="center" vertical="center" wrapText="1"/>
      <protection locked="0"/>
    </xf>
    <xf numFmtId="0" fontId="8" fillId="7" borderId="20" xfId="0" applyFont="1" applyFill="1" applyBorder="1" applyAlignment="1" applyProtection="1">
      <alignment horizontal="center" vertical="center" wrapText="1"/>
      <protection locked="0"/>
    </xf>
    <xf numFmtId="0" fontId="8" fillId="9" borderId="48" xfId="0" applyFont="1" applyFill="1" applyBorder="1" applyAlignment="1" applyProtection="1">
      <alignment horizontal="center" vertical="center" wrapText="1"/>
      <protection locked="0"/>
    </xf>
    <xf numFmtId="1" fontId="11" fillId="13" borderId="51" xfId="0" applyNumberFormat="1" applyFont="1" applyFill="1" applyBorder="1" applyAlignment="1">
      <alignment horizontal="center"/>
    </xf>
    <xf numFmtId="1" fontId="11" fillId="13" borderId="52" xfId="0" applyNumberFormat="1" applyFont="1" applyFill="1" applyBorder="1" applyAlignment="1">
      <alignment horizontal="center"/>
    </xf>
    <xf numFmtId="4" fontId="5" fillId="13" borderId="50" xfId="0" applyNumberFormat="1" applyFont="1" applyFill="1" applyBorder="1" applyAlignment="1">
      <alignment horizontal="center"/>
    </xf>
    <xf numFmtId="4" fontId="5" fillId="13" borderId="51" xfId="0" applyNumberFormat="1" applyFont="1" applyFill="1" applyBorder="1" applyAlignment="1">
      <alignment horizontal="center"/>
    </xf>
    <xf numFmtId="4" fontId="5" fillId="13" borderId="52" xfId="0" applyNumberFormat="1" applyFont="1" applyFill="1" applyBorder="1" applyAlignment="1">
      <alignment horizontal="center"/>
    </xf>
    <xf numFmtId="0" fontId="8" fillId="7" borderId="30" xfId="0" applyFont="1" applyFill="1" applyBorder="1" applyAlignment="1" applyProtection="1">
      <alignment horizontal="center" vertical="center" wrapText="1"/>
      <protection locked="0"/>
    </xf>
    <xf numFmtId="0" fontId="8" fillId="7" borderId="35" xfId="0" applyFont="1" applyFill="1" applyBorder="1" applyAlignment="1" applyProtection="1">
      <alignment horizontal="center" vertical="center" wrapText="1"/>
      <protection locked="0"/>
    </xf>
    <xf numFmtId="0" fontId="8" fillId="7" borderId="42" xfId="0" applyFont="1" applyFill="1" applyBorder="1" applyAlignment="1" applyProtection="1">
      <alignment horizontal="center" vertical="center" wrapText="1"/>
      <protection locked="0"/>
    </xf>
    <xf numFmtId="0" fontId="8" fillId="7" borderId="32" xfId="0" applyFont="1" applyFill="1" applyBorder="1" applyAlignment="1" applyProtection="1">
      <alignment horizontal="center" vertical="center" wrapText="1"/>
      <protection locked="0"/>
    </xf>
    <xf numFmtId="0" fontId="8" fillId="7" borderId="39" xfId="0" applyFont="1" applyFill="1" applyBorder="1" applyAlignment="1" applyProtection="1">
      <alignment horizontal="center" vertical="center" wrapText="1"/>
      <protection locked="0"/>
    </xf>
    <xf numFmtId="0" fontId="8" fillId="7" borderId="45" xfId="0" applyFont="1" applyFill="1" applyBorder="1" applyAlignment="1" applyProtection="1">
      <alignment horizontal="center" vertical="center" wrapText="1"/>
      <protection locked="0"/>
    </xf>
    <xf numFmtId="0" fontId="5" fillId="13" borderId="50" xfId="0" applyFont="1" applyFill="1" applyBorder="1" applyAlignment="1">
      <alignment horizontal="center"/>
    </xf>
    <xf numFmtId="0" fontId="5" fillId="13" borderId="51" xfId="0" applyFont="1" applyFill="1" applyBorder="1" applyAlignment="1">
      <alignment horizontal="center"/>
    </xf>
    <xf numFmtId="0" fontId="5" fillId="13" borderId="52" xfId="0" applyFont="1" applyFill="1" applyBorder="1" applyAlignment="1">
      <alignment horizontal="center"/>
    </xf>
    <xf numFmtId="49" fontId="5" fillId="3" borderId="21" xfId="0" applyNumberFormat="1" applyFont="1" applyFill="1" applyBorder="1" applyAlignment="1" applyProtection="1">
      <alignment horizontal="left" vertical="center"/>
      <protection locked="0"/>
    </xf>
    <xf numFmtId="49" fontId="5" fillId="3" borderId="25" xfId="0" applyNumberFormat="1" applyFont="1" applyFill="1" applyBorder="1" applyAlignment="1" applyProtection="1">
      <alignment horizontal="left" vertical="center"/>
      <protection locked="0"/>
    </xf>
    <xf numFmtId="49" fontId="5" fillId="3" borderId="26" xfId="0" applyNumberFormat="1" applyFont="1" applyFill="1" applyBorder="1" applyAlignment="1" applyProtection="1">
      <alignment horizontal="left" vertical="center"/>
      <protection locked="0"/>
    </xf>
    <xf numFmtId="0" fontId="8" fillId="9" borderId="17" xfId="0" applyFont="1" applyFill="1" applyBorder="1" applyAlignment="1" applyProtection="1">
      <alignment horizontal="center" vertical="center" wrapText="1"/>
      <protection locked="0"/>
    </xf>
    <xf numFmtId="0" fontId="8" fillId="9" borderId="20" xfId="0" applyFont="1" applyFill="1" applyBorder="1" applyAlignment="1" applyProtection="1">
      <alignment horizontal="center" vertical="center" wrapText="1"/>
      <protection locked="0"/>
    </xf>
    <xf numFmtId="0" fontId="5" fillId="6" borderId="8" xfId="0" applyFont="1" applyFill="1" applyBorder="1" applyAlignment="1">
      <alignment horizontal="center" vertical="center"/>
    </xf>
    <xf numFmtId="2" fontId="5" fillId="3" borderId="17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2" fontId="5" fillId="3" borderId="17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2" fontId="5" fillId="3" borderId="13" xfId="0" applyNumberFormat="1" applyFont="1" applyFill="1" applyBorder="1" applyAlignment="1">
      <alignment horizontal="center" vertical="center" wrapText="1"/>
    </xf>
    <xf numFmtId="2" fontId="5" fillId="3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428625</xdr:colOff>
      <xdr:row>3</xdr:row>
      <xdr:rowOff>123825</xdr:rowOff>
    </xdr:from>
    <xdr:to>
      <xdr:col>22</xdr:col>
      <xdr:colOff>571500</xdr:colOff>
      <xdr:row>3</xdr:row>
      <xdr:rowOff>152400</xdr:rowOff>
    </xdr:to>
    <xdr:sp macro="" textlink="">
      <xdr:nvSpPr>
        <xdr:cNvPr id="2" name="Text Box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3458825" y="885825"/>
          <a:ext cx="1428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26</xdr:col>
      <xdr:colOff>523875</xdr:colOff>
      <xdr:row>4</xdr:row>
      <xdr:rowOff>47625</xdr:rowOff>
    </xdr:from>
    <xdr:to>
      <xdr:col>27</xdr:col>
      <xdr:colOff>0</xdr:colOff>
      <xdr:row>5</xdr:row>
      <xdr:rowOff>0</xdr:rowOff>
    </xdr:to>
    <xdr:sp macro="" textlink="">
      <xdr:nvSpPr>
        <xdr:cNvPr id="3" name="Text Box 2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3554075" y="14287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26</xdr:col>
      <xdr:colOff>523875</xdr:colOff>
      <xdr:row>5</xdr:row>
      <xdr:rowOff>47625</xdr:rowOff>
    </xdr:from>
    <xdr:to>
      <xdr:col>27</xdr:col>
      <xdr:colOff>0</xdr:colOff>
      <xdr:row>6</xdr:row>
      <xdr:rowOff>0</xdr:rowOff>
    </xdr:to>
    <xdr:sp macro="" textlink="">
      <xdr:nvSpPr>
        <xdr:cNvPr id="4" name="Text Box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3554075" y="1714500"/>
          <a:ext cx="762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25</xdr:col>
      <xdr:colOff>0</xdr:colOff>
      <xdr:row>5</xdr:row>
      <xdr:rowOff>47625</xdr:rowOff>
    </xdr:from>
    <xdr:to>
      <xdr:col>25</xdr:col>
      <xdr:colOff>57150</xdr:colOff>
      <xdr:row>6</xdr:row>
      <xdr:rowOff>0</xdr:rowOff>
    </xdr:to>
    <xdr:sp macro="" textlink="">
      <xdr:nvSpPr>
        <xdr:cNvPr id="5" name="Text Box 2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3630275" y="1428750"/>
          <a:ext cx="571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24</xdr:col>
      <xdr:colOff>0</xdr:colOff>
      <xdr:row>6</xdr:row>
      <xdr:rowOff>47625</xdr:rowOff>
    </xdr:from>
    <xdr:to>
      <xdr:col>24</xdr:col>
      <xdr:colOff>57150</xdr:colOff>
      <xdr:row>7</xdr:row>
      <xdr:rowOff>0</xdr:rowOff>
    </xdr:to>
    <xdr:sp macro="" textlink="">
      <xdr:nvSpPr>
        <xdr:cNvPr id="6" name="Text Box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3630275" y="1714500"/>
          <a:ext cx="571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25</xdr:col>
      <xdr:colOff>0</xdr:colOff>
      <xdr:row>5</xdr:row>
      <xdr:rowOff>47625</xdr:rowOff>
    </xdr:from>
    <xdr:to>
      <xdr:col>25</xdr:col>
      <xdr:colOff>57150</xdr:colOff>
      <xdr:row>6</xdr:row>
      <xdr:rowOff>0</xdr:rowOff>
    </xdr:to>
    <xdr:sp macro="" textlink="">
      <xdr:nvSpPr>
        <xdr:cNvPr id="7" name="Text Box 2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3935075" y="1428750"/>
          <a:ext cx="571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25</xdr:col>
      <xdr:colOff>0</xdr:colOff>
      <xdr:row>6</xdr:row>
      <xdr:rowOff>47625</xdr:rowOff>
    </xdr:from>
    <xdr:to>
      <xdr:col>25</xdr:col>
      <xdr:colOff>57150</xdr:colOff>
      <xdr:row>7</xdr:row>
      <xdr:rowOff>0</xdr:rowOff>
    </xdr:to>
    <xdr:sp macro="" textlink="">
      <xdr:nvSpPr>
        <xdr:cNvPr id="8" name="Text Box 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3935075" y="1714500"/>
          <a:ext cx="5715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67"/>
  <sheetViews>
    <sheetView tabSelected="1" topLeftCell="R1" zoomScale="115" zoomScaleNormal="115" workbookViewId="0">
      <pane ySplit="13" topLeftCell="A14" activePane="bottomLeft" state="frozen"/>
      <selection pane="bottomLeft" activeCell="AP20" sqref="AP20"/>
    </sheetView>
  </sheetViews>
  <sheetFormatPr defaultRowHeight="12.75" x14ac:dyDescent="0.2"/>
  <cols>
    <col min="1" max="1" width="8.140625" customWidth="1"/>
    <col min="2" max="2" width="13.140625" customWidth="1"/>
    <col min="3" max="3" width="10" customWidth="1"/>
    <col min="5" max="5" width="4.140625" bestFit="1" customWidth="1"/>
    <col min="6" max="6" width="4" bestFit="1" customWidth="1"/>
    <col min="17" max="17" width="10.7109375" bestFit="1" customWidth="1"/>
    <col min="19" max="19" width="9.42578125" bestFit="1" customWidth="1"/>
    <col min="22" max="22" width="9.7109375" customWidth="1"/>
    <col min="23" max="23" width="9" customWidth="1"/>
    <col min="24" max="24" width="4.5703125" customWidth="1"/>
    <col min="25" max="27" width="4.7109375" customWidth="1"/>
    <col min="28" max="28" width="10.28515625" customWidth="1"/>
    <col min="29" max="33" width="6.7109375" customWidth="1"/>
    <col min="34" max="41" width="8.85546875" customWidth="1"/>
    <col min="42" max="42" width="35.5703125" customWidth="1"/>
    <col min="43" max="45" width="9.140625" hidden="1" customWidth="1"/>
    <col min="46" max="48" width="0" hidden="1" customWidth="1"/>
  </cols>
  <sheetData>
    <row r="1" spans="1:48" ht="13.5" thickBot="1" x14ac:dyDescent="0.25"/>
    <row r="2" spans="1:48" s="3" customFormat="1" ht="23.1" customHeight="1" x14ac:dyDescent="0.2">
      <c r="A2" s="153" t="s">
        <v>0</v>
      </c>
      <c r="B2" s="154"/>
      <c r="C2" s="155" t="s">
        <v>89</v>
      </c>
      <c r="D2" s="156"/>
      <c r="E2" s="156"/>
      <c r="F2" s="157"/>
      <c r="G2" s="158" t="s">
        <v>1</v>
      </c>
      <c r="H2" s="159"/>
      <c r="I2" s="160" t="s">
        <v>95</v>
      </c>
      <c r="J2" s="161"/>
      <c r="K2" s="161"/>
      <c r="L2" s="162"/>
      <c r="M2" s="163" t="s">
        <v>2</v>
      </c>
      <c r="N2" s="159"/>
      <c r="O2" s="160" t="s">
        <v>102</v>
      </c>
      <c r="P2" s="161"/>
      <c r="Q2" s="161"/>
      <c r="R2" s="162"/>
      <c r="S2" s="1"/>
      <c r="T2" s="138" t="s">
        <v>3</v>
      </c>
      <c r="U2" s="139"/>
      <c r="V2" s="140">
        <f>E65+(F65/60)</f>
        <v>72.25</v>
      </c>
      <c r="W2" s="141"/>
      <c r="X2" s="139" t="s">
        <v>4</v>
      </c>
      <c r="Y2" s="139"/>
      <c r="Z2" s="139"/>
      <c r="AA2" s="139"/>
      <c r="AB2" s="104">
        <f>AQ65</f>
        <v>716</v>
      </c>
      <c r="AC2" s="2"/>
      <c r="AD2" s="2"/>
    </row>
    <row r="3" spans="1:48" s="3" customFormat="1" ht="24" customHeight="1" x14ac:dyDescent="0.2">
      <c r="A3" s="142" t="s">
        <v>5</v>
      </c>
      <c r="B3" s="143"/>
      <c r="C3" s="144" t="s">
        <v>93</v>
      </c>
      <c r="D3" s="145"/>
      <c r="E3" s="145"/>
      <c r="F3" s="146"/>
      <c r="G3" s="147" t="s">
        <v>6</v>
      </c>
      <c r="H3" s="148"/>
      <c r="I3" s="149" t="s">
        <v>103</v>
      </c>
      <c r="J3" s="150"/>
      <c r="K3" s="150"/>
      <c r="L3" s="151"/>
      <c r="M3" s="152" t="s">
        <v>7</v>
      </c>
      <c r="N3" s="148"/>
      <c r="O3" s="149"/>
      <c r="P3" s="150"/>
      <c r="Q3" s="150"/>
      <c r="R3" s="151"/>
      <c r="S3" s="1"/>
      <c r="T3" s="164" t="s">
        <v>8</v>
      </c>
      <c r="U3" s="165"/>
      <c r="V3" s="166">
        <f>SUM(G14:G64)</f>
        <v>716</v>
      </c>
      <c r="W3" s="167"/>
      <c r="X3" s="165" t="s">
        <v>9</v>
      </c>
      <c r="Y3" s="165"/>
      <c r="Z3" s="165"/>
      <c r="AA3" s="165"/>
      <c r="AB3" s="105">
        <f>AR65</f>
        <v>72.25</v>
      </c>
      <c r="AC3" s="2"/>
      <c r="AD3" s="2"/>
    </row>
    <row r="4" spans="1:48" s="3" customFormat="1" ht="23.25" customHeight="1" thickBot="1" x14ac:dyDescent="0.25">
      <c r="A4" s="142" t="s">
        <v>10</v>
      </c>
      <c r="B4" s="143"/>
      <c r="C4" s="144" t="s">
        <v>91</v>
      </c>
      <c r="D4" s="145"/>
      <c r="E4" s="145"/>
      <c r="F4" s="146"/>
      <c r="G4" s="147" t="s">
        <v>11</v>
      </c>
      <c r="H4" s="152"/>
      <c r="I4" s="168"/>
      <c r="J4" s="150"/>
      <c r="K4" s="150"/>
      <c r="L4" s="151"/>
      <c r="M4" s="152" t="s">
        <v>12</v>
      </c>
      <c r="N4" s="148"/>
      <c r="O4" s="168"/>
      <c r="P4" s="150"/>
      <c r="Q4" s="150"/>
      <c r="R4" s="151"/>
      <c r="S4" s="4"/>
      <c r="T4" s="169" t="s">
        <v>13</v>
      </c>
      <c r="U4" s="170"/>
      <c r="V4" s="171">
        <f>J64</f>
        <v>9.9100346020761254</v>
      </c>
      <c r="W4" s="172"/>
      <c r="X4" s="173" t="s">
        <v>14</v>
      </c>
      <c r="Y4" s="173"/>
      <c r="Z4" s="173"/>
      <c r="AA4" s="173"/>
      <c r="AB4" s="106">
        <f>AR66</f>
        <v>9.9100346020761254</v>
      </c>
      <c r="AC4" s="2"/>
      <c r="AD4" s="2"/>
    </row>
    <row r="5" spans="1:48" s="3" customFormat="1" ht="25.5" customHeight="1" x14ac:dyDescent="0.2">
      <c r="A5" s="142" t="s">
        <v>15</v>
      </c>
      <c r="B5" s="143"/>
      <c r="C5" s="144" t="s">
        <v>94</v>
      </c>
      <c r="D5" s="145"/>
      <c r="E5" s="145"/>
      <c r="F5" s="146"/>
      <c r="G5" s="147" t="s">
        <v>16</v>
      </c>
      <c r="H5" s="148"/>
      <c r="I5" s="168" t="s">
        <v>96</v>
      </c>
      <c r="J5" s="150"/>
      <c r="K5" s="150"/>
      <c r="L5" s="151"/>
      <c r="M5" s="152" t="s">
        <v>17</v>
      </c>
      <c r="N5" s="152"/>
      <c r="O5" s="168"/>
      <c r="P5" s="150"/>
      <c r="Q5" s="150"/>
      <c r="R5" s="151"/>
      <c r="S5" s="4"/>
      <c r="T5" s="220" t="s">
        <v>60</v>
      </c>
      <c r="U5" s="221"/>
      <c r="V5" s="221"/>
      <c r="W5" s="107" t="s">
        <v>20</v>
      </c>
      <c r="X5" s="277" t="s">
        <v>21</v>
      </c>
      <c r="Y5" s="277"/>
      <c r="Z5" s="275" t="s">
        <v>22</v>
      </c>
      <c r="AA5" s="275"/>
      <c r="AB5" s="108" t="s">
        <v>23</v>
      </c>
      <c r="AC5" s="2"/>
      <c r="AD5" s="2"/>
      <c r="AE5" s="2"/>
    </row>
    <row r="6" spans="1:48" s="3" customFormat="1" ht="23.1" customHeight="1" x14ac:dyDescent="0.2">
      <c r="A6" s="142" t="s">
        <v>18</v>
      </c>
      <c r="B6" s="143"/>
      <c r="C6" s="174">
        <v>53650</v>
      </c>
      <c r="D6" s="175"/>
      <c r="E6" s="175"/>
      <c r="F6" s="176"/>
      <c r="G6" s="177" t="s">
        <v>19</v>
      </c>
      <c r="H6" s="178"/>
      <c r="I6" s="178"/>
      <c r="J6" s="178"/>
      <c r="K6" s="178"/>
      <c r="L6" s="179"/>
      <c r="M6" s="178" t="s">
        <v>19</v>
      </c>
      <c r="N6" s="178"/>
      <c r="O6" s="178"/>
      <c r="P6" s="178"/>
      <c r="Q6" s="178"/>
      <c r="R6" s="179"/>
      <c r="S6" s="4"/>
      <c r="T6" s="211" t="s">
        <v>61</v>
      </c>
      <c r="U6" s="212"/>
      <c r="V6" s="212"/>
      <c r="W6" s="109">
        <f>SUM(M14:M64)</f>
        <v>70.240000000000009</v>
      </c>
      <c r="X6" s="278">
        <f>SUM(N14:N64)</f>
        <v>0</v>
      </c>
      <c r="Y6" s="278"/>
      <c r="Z6" s="276">
        <f>SUM(O14:O64)</f>
        <v>0.8</v>
      </c>
      <c r="AA6" s="276"/>
      <c r="AB6" s="110">
        <f>SUM(P14:P64)</f>
        <v>0</v>
      </c>
      <c r="AC6" s="2"/>
      <c r="AD6" s="2"/>
      <c r="AE6" s="2"/>
    </row>
    <row r="7" spans="1:48" s="3" customFormat="1" ht="25.5" customHeight="1" thickBot="1" x14ac:dyDescent="0.25">
      <c r="A7" s="214" t="s">
        <v>24</v>
      </c>
      <c r="B7" s="215"/>
      <c r="C7" s="270" t="s">
        <v>92</v>
      </c>
      <c r="D7" s="271"/>
      <c r="E7" s="271"/>
      <c r="F7" s="272"/>
      <c r="G7" s="5" t="s">
        <v>25</v>
      </c>
      <c r="H7" s="6">
        <v>12.28</v>
      </c>
      <c r="I7" s="7" t="s">
        <v>26</v>
      </c>
      <c r="J7" s="6">
        <v>12.6</v>
      </c>
      <c r="K7" s="7" t="s">
        <v>27</v>
      </c>
      <c r="L7" s="8">
        <v>12.93</v>
      </c>
      <c r="M7" s="9" t="s">
        <v>25</v>
      </c>
      <c r="N7" s="6"/>
      <c r="O7" s="7" t="s">
        <v>26</v>
      </c>
      <c r="P7" s="6"/>
      <c r="Q7" s="7" t="s">
        <v>27</v>
      </c>
      <c r="R7" s="8"/>
      <c r="S7" s="10"/>
      <c r="T7" s="211" t="s">
        <v>62</v>
      </c>
      <c r="U7" s="212"/>
      <c r="V7" s="212"/>
      <c r="W7" s="111">
        <f>W6/V2*24</f>
        <v>23.332318339100347</v>
      </c>
      <c r="X7" s="279">
        <f>X6/V2*24</f>
        <v>0</v>
      </c>
      <c r="Y7" s="280"/>
      <c r="Z7" s="281">
        <f>Z6/V2*24</f>
        <v>0.26574394463667822</v>
      </c>
      <c r="AA7" s="282"/>
      <c r="AB7" s="110">
        <f>AB6/V2*24</f>
        <v>0</v>
      </c>
      <c r="AC7" s="2"/>
      <c r="AD7" s="2"/>
      <c r="AE7" s="2"/>
      <c r="AF7" s="194"/>
      <c r="AG7" s="194"/>
    </row>
    <row r="8" spans="1:48" ht="24" customHeight="1" thickBo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207" t="s">
        <v>63</v>
      </c>
      <c r="U8" s="208"/>
      <c r="V8" s="208"/>
      <c r="W8" s="112">
        <f>AS65/AB3*24</f>
        <v>23.332318339100347</v>
      </c>
      <c r="X8" s="209">
        <f>AT65/AB3*24</f>
        <v>0</v>
      </c>
      <c r="Y8" s="209"/>
      <c r="Z8" s="209">
        <f>AU65/AB3*24</f>
        <v>0.26574394463667822</v>
      </c>
      <c r="AA8" s="209"/>
      <c r="AB8" s="113">
        <f>AV65/AB3*24</f>
        <v>0</v>
      </c>
      <c r="AC8" s="11"/>
      <c r="AD8" s="195"/>
      <c r="AE8" s="195"/>
      <c r="AF8" s="195"/>
      <c r="AG8" s="195"/>
      <c r="AH8" s="11"/>
      <c r="AI8" s="11"/>
      <c r="AJ8" s="11"/>
      <c r="AK8" s="11"/>
      <c r="AL8" s="11"/>
      <c r="AM8" s="11"/>
      <c r="AN8" s="11"/>
      <c r="AO8" s="11"/>
    </row>
    <row r="9" spans="1:48" ht="15" customHeight="1" thickBo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 t="s">
        <v>28</v>
      </c>
      <c r="X9" s="114">
        <v>4</v>
      </c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21"/>
      <c r="AJ9" s="121"/>
      <c r="AK9" s="121"/>
      <c r="AL9" s="121"/>
      <c r="AM9" s="121"/>
      <c r="AN9" s="121"/>
      <c r="AO9" s="121"/>
    </row>
    <row r="10" spans="1:48" s="13" customFormat="1" ht="42" customHeight="1" x14ac:dyDescent="0.2">
      <c r="A10" s="180" t="s">
        <v>29</v>
      </c>
      <c r="B10" s="183" t="s">
        <v>30</v>
      </c>
      <c r="C10" s="186" t="s">
        <v>31</v>
      </c>
      <c r="D10" s="187"/>
      <c r="E10" s="188" t="s">
        <v>32</v>
      </c>
      <c r="F10" s="189"/>
      <c r="G10" s="190"/>
      <c r="H10" s="191" t="s">
        <v>33</v>
      </c>
      <c r="I10" s="250" t="s">
        <v>34</v>
      </c>
      <c r="J10" s="261" t="s">
        <v>35</v>
      </c>
      <c r="K10" s="250" t="s">
        <v>36</v>
      </c>
      <c r="L10" s="264" t="s">
        <v>37</v>
      </c>
      <c r="M10" s="240" t="s">
        <v>38</v>
      </c>
      <c r="N10" s="250"/>
      <c r="O10" s="250"/>
      <c r="P10" s="250"/>
      <c r="Q10" s="250" t="s">
        <v>39</v>
      </c>
      <c r="R10" s="250"/>
      <c r="S10" s="250"/>
      <c r="T10" s="251"/>
      <c r="U10" s="213" t="s">
        <v>40</v>
      </c>
      <c r="V10" s="187"/>
      <c r="W10" s="240" t="s">
        <v>41</v>
      </c>
      <c r="X10" s="186" t="s">
        <v>42</v>
      </c>
      <c r="Y10" s="186"/>
      <c r="Z10" s="186" t="s">
        <v>43</v>
      </c>
      <c r="AA10" s="243"/>
      <c r="AB10" s="244" t="s">
        <v>64</v>
      </c>
      <c r="AC10" s="201" t="s">
        <v>44</v>
      </c>
      <c r="AD10" s="247"/>
      <c r="AE10" s="200" t="s">
        <v>45</v>
      </c>
      <c r="AF10" s="201"/>
      <c r="AG10" s="200" t="s">
        <v>46</v>
      </c>
      <c r="AH10" s="210"/>
      <c r="AI10" s="255" t="s">
        <v>80</v>
      </c>
      <c r="AJ10" s="255"/>
      <c r="AK10" s="255"/>
      <c r="AL10" s="255"/>
      <c r="AM10" s="255" t="s">
        <v>85</v>
      </c>
      <c r="AN10" s="255"/>
      <c r="AO10" s="255"/>
      <c r="AP10" s="224" t="s">
        <v>47</v>
      </c>
    </row>
    <row r="11" spans="1:48" s="13" customFormat="1" ht="31.5" customHeight="1" x14ac:dyDescent="0.2">
      <c r="A11" s="181"/>
      <c r="B11" s="184"/>
      <c r="C11" s="227" t="s">
        <v>48</v>
      </c>
      <c r="D11" s="229" t="s">
        <v>49</v>
      </c>
      <c r="E11" s="231" t="s">
        <v>50</v>
      </c>
      <c r="F11" s="233" t="s">
        <v>51</v>
      </c>
      <c r="G11" s="235" t="s">
        <v>52</v>
      </c>
      <c r="H11" s="192"/>
      <c r="I11" s="253"/>
      <c r="J11" s="262"/>
      <c r="K11" s="253"/>
      <c r="L11" s="265"/>
      <c r="M11" s="237" t="s">
        <v>53</v>
      </c>
      <c r="N11" s="238"/>
      <c r="O11" s="239" t="s">
        <v>54</v>
      </c>
      <c r="P11" s="239"/>
      <c r="Q11" s="238" t="s">
        <v>53</v>
      </c>
      <c r="R11" s="238"/>
      <c r="S11" s="239" t="s">
        <v>54</v>
      </c>
      <c r="T11" s="252"/>
      <c r="U11" s="196" t="s">
        <v>55</v>
      </c>
      <c r="V11" s="198" t="s">
        <v>56</v>
      </c>
      <c r="W11" s="241"/>
      <c r="X11" s="218" t="s">
        <v>57</v>
      </c>
      <c r="Y11" s="218" t="s">
        <v>58</v>
      </c>
      <c r="Z11" s="218" t="s">
        <v>57</v>
      </c>
      <c r="AA11" s="222" t="s">
        <v>58</v>
      </c>
      <c r="AB11" s="245"/>
      <c r="AC11" s="216" t="s">
        <v>55</v>
      </c>
      <c r="AD11" s="202" t="s">
        <v>56</v>
      </c>
      <c r="AE11" s="204" t="s">
        <v>55</v>
      </c>
      <c r="AF11" s="206" t="s">
        <v>56</v>
      </c>
      <c r="AG11" s="204" t="s">
        <v>55</v>
      </c>
      <c r="AH11" s="248" t="s">
        <v>56</v>
      </c>
      <c r="AI11" s="202" t="s">
        <v>81</v>
      </c>
      <c r="AJ11" s="273" t="s">
        <v>82</v>
      </c>
      <c r="AK11" s="273" t="s">
        <v>83</v>
      </c>
      <c r="AL11" s="273" t="s">
        <v>84</v>
      </c>
      <c r="AM11" s="202" t="s">
        <v>86</v>
      </c>
      <c r="AN11" s="202" t="s">
        <v>87</v>
      </c>
      <c r="AO11" s="202" t="s">
        <v>88</v>
      </c>
      <c r="AP11" s="225"/>
    </row>
    <row r="12" spans="1:48" s="13" customFormat="1" ht="23.25" customHeight="1" thickBot="1" x14ac:dyDescent="0.25">
      <c r="A12" s="182"/>
      <c r="B12" s="185"/>
      <c r="C12" s="228"/>
      <c r="D12" s="230"/>
      <c r="E12" s="232"/>
      <c r="F12" s="234"/>
      <c r="G12" s="236"/>
      <c r="H12" s="193"/>
      <c r="I12" s="254"/>
      <c r="J12" s="263"/>
      <c r="K12" s="254"/>
      <c r="L12" s="266"/>
      <c r="M12" s="14" t="s">
        <v>20</v>
      </c>
      <c r="N12" s="15" t="s">
        <v>21</v>
      </c>
      <c r="O12" s="16" t="s">
        <v>22</v>
      </c>
      <c r="P12" s="16" t="s">
        <v>23</v>
      </c>
      <c r="Q12" s="15" t="s">
        <v>20</v>
      </c>
      <c r="R12" s="15" t="s">
        <v>21</v>
      </c>
      <c r="S12" s="16" t="s">
        <v>22</v>
      </c>
      <c r="T12" s="17" t="s">
        <v>23</v>
      </c>
      <c r="U12" s="197"/>
      <c r="V12" s="199"/>
      <c r="W12" s="242"/>
      <c r="X12" s="219"/>
      <c r="Y12" s="219"/>
      <c r="Z12" s="219"/>
      <c r="AA12" s="223"/>
      <c r="AB12" s="246"/>
      <c r="AC12" s="217"/>
      <c r="AD12" s="203"/>
      <c r="AE12" s="205"/>
      <c r="AF12" s="205"/>
      <c r="AG12" s="205"/>
      <c r="AH12" s="249"/>
      <c r="AI12" s="203"/>
      <c r="AJ12" s="274"/>
      <c r="AK12" s="274"/>
      <c r="AL12" s="274"/>
      <c r="AM12" s="203"/>
      <c r="AN12" s="203"/>
      <c r="AO12" s="203"/>
      <c r="AP12" s="226"/>
    </row>
    <row r="13" spans="1:48" ht="15" customHeight="1" thickBot="1" x14ac:dyDescent="0.25">
      <c r="A13" s="134" t="s">
        <v>90</v>
      </c>
      <c r="B13" s="18" t="s">
        <v>96</v>
      </c>
      <c r="C13" s="19" t="s">
        <v>97</v>
      </c>
      <c r="D13" s="19" t="s">
        <v>98</v>
      </c>
      <c r="E13" s="256"/>
      <c r="F13" s="256"/>
      <c r="G13" s="257"/>
      <c r="H13" s="21">
        <v>1606</v>
      </c>
      <c r="I13" s="258"/>
      <c r="J13" s="259"/>
      <c r="K13" s="259"/>
      <c r="L13" s="115"/>
      <c r="M13" s="258"/>
      <c r="N13" s="259"/>
      <c r="O13" s="259"/>
      <c r="P13" s="260"/>
      <c r="Q13" s="22">
        <v>183.32</v>
      </c>
      <c r="R13" s="23">
        <v>0</v>
      </c>
      <c r="S13" s="22">
        <v>65.2</v>
      </c>
      <c r="T13" s="24">
        <v>0</v>
      </c>
      <c r="U13" s="116"/>
      <c r="V13" s="25">
        <v>176</v>
      </c>
      <c r="W13" s="26" t="s">
        <v>99</v>
      </c>
      <c r="X13" s="267"/>
      <c r="Y13" s="268"/>
      <c r="Z13" s="268"/>
      <c r="AA13" s="269"/>
      <c r="AB13" s="124" t="s">
        <v>100</v>
      </c>
      <c r="AC13" s="117"/>
      <c r="AD13" s="28">
        <v>7598</v>
      </c>
      <c r="AE13" s="118"/>
      <c r="AF13" s="28">
        <v>16000</v>
      </c>
      <c r="AG13" s="118"/>
      <c r="AH13" s="29">
        <v>1300</v>
      </c>
      <c r="AI13" s="119">
        <v>4390</v>
      </c>
      <c r="AJ13" s="120">
        <v>0.49</v>
      </c>
      <c r="AK13" s="120">
        <v>0.1</v>
      </c>
      <c r="AL13" s="120">
        <v>0</v>
      </c>
      <c r="AM13" s="119"/>
      <c r="AN13" s="120"/>
      <c r="AO13" s="129">
        <v>1.42</v>
      </c>
      <c r="AP13" s="136" t="s">
        <v>101</v>
      </c>
      <c r="AS13" t="s">
        <v>20</v>
      </c>
      <c r="AT13" t="s">
        <v>21</v>
      </c>
      <c r="AU13" t="s">
        <v>22</v>
      </c>
      <c r="AV13" t="s">
        <v>23</v>
      </c>
    </row>
    <row r="14" spans="1:48" ht="15" customHeight="1" x14ac:dyDescent="0.2">
      <c r="A14" s="133" t="s">
        <v>104</v>
      </c>
      <c r="B14" s="132" t="s">
        <v>105</v>
      </c>
      <c r="C14" s="31" t="s">
        <v>97</v>
      </c>
      <c r="D14" s="31" t="s">
        <v>98</v>
      </c>
      <c r="E14" s="131">
        <v>1</v>
      </c>
      <c r="F14" s="47">
        <v>45</v>
      </c>
      <c r="G14" s="48">
        <v>19</v>
      </c>
      <c r="H14" s="33">
        <f>H13-G14</f>
        <v>1587</v>
      </c>
      <c r="I14" s="34">
        <f t="shared" ref="I14:I63" si="0">G14/(E14+(F14/60))</f>
        <v>10.857142857142858</v>
      </c>
      <c r="J14" s="35">
        <f>G14/(E14+(F14/60))</f>
        <v>10.857142857142858</v>
      </c>
      <c r="K14" s="52">
        <v>91.9</v>
      </c>
      <c r="L14" s="32">
        <v>17.2</v>
      </c>
      <c r="M14" s="125">
        <v>1.64</v>
      </c>
      <c r="N14" s="126">
        <v>0</v>
      </c>
      <c r="O14" s="127">
        <v>0.2</v>
      </c>
      <c r="P14" s="128">
        <v>0</v>
      </c>
      <c r="Q14" s="36">
        <f t="shared" ref="Q14:T29" si="1">Q13-M14</f>
        <v>181.68</v>
      </c>
      <c r="R14" s="37">
        <f t="shared" si="1"/>
        <v>0</v>
      </c>
      <c r="S14" s="38">
        <f t="shared" si="1"/>
        <v>65</v>
      </c>
      <c r="T14" s="39">
        <f t="shared" si="1"/>
        <v>0</v>
      </c>
      <c r="U14" s="40">
        <v>3</v>
      </c>
      <c r="V14" s="41">
        <f>V13-U14</f>
        <v>173</v>
      </c>
      <c r="W14" s="30" t="s">
        <v>99</v>
      </c>
      <c r="X14" s="31" t="s">
        <v>106</v>
      </c>
      <c r="Y14" s="31">
        <v>4</v>
      </c>
      <c r="Z14" s="31" t="s">
        <v>106</v>
      </c>
      <c r="AA14" s="32">
        <v>3</v>
      </c>
      <c r="AB14" s="27" t="s">
        <v>100</v>
      </c>
      <c r="AC14" s="63">
        <v>10</v>
      </c>
      <c r="AD14" s="42">
        <f>AD13-AC14</f>
        <v>7588</v>
      </c>
      <c r="AE14" s="43">
        <v>0</v>
      </c>
      <c r="AF14" s="42">
        <f>AF13-AE14</f>
        <v>16000</v>
      </c>
      <c r="AG14" s="43">
        <v>0</v>
      </c>
      <c r="AH14" s="44">
        <f>AH13-AG14</f>
        <v>1300</v>
      </c>
      <c r="AI14" s="43">
        <v>4799</v>
      </c>
      <c r="AJ14" s="43">
        <v>1.4</v>
      </c>
      <c r="AK14" s="43">
        <v>0.44</v>
      </c>
      <c r="AL14" s="43">
        <v>0</v>
      </c>
      <c r="AM14" s="43">
        <v>0</v>
      </c>
      <c r="AN14" s="43">
        <v>0</v>
      </c>
      <c r="AO14" s="135">
        <v>1.75</v>
      </c>
      <c r="AP14" s="130" t="s">
        <v>107</v>
      </c>
      <c r="AQ14" s="45">
        <f>IF(Y14&lt;5,G14,0)</f>
        <v>19</v>
      </c>
      <c r="AR14" s="45">
        <f>IF(Y14&lt;5,(((E14*60)+(F14))/60),0)</f>
        <v>1.75</v>
      </c>
      <c r="AS14">
        <f>IF(Y14&lt;5,M14,0)</f>
        <v>1.64</v>
      </c>
      <c r="AT14">
        <f>IF(Y14&lt;5,N14,0)</f>
        <v>0</v>
      </c>
      <c r="AU14">
        <f>IF(Y14&lt;5,O14,0)</f>
        <v>0.2</v>
      </c>
      <c r="AV14">
        <f>IF(Y14&lt;5,P14,0)</f>
        <v>0</v>
      </c>
    </row>
    <row r="15" spans="1:48" ht="15" customHeight="1" x14ac:dyDescent="0.2">
      <c r="A15" s="30" t="s">
        <v>108</v>
      </c>
      <c r="B15" s="18" t="s">
        <v>109</v>
      </c>
      <c r="C15" s="31" t="s">
        <v>110</v>
      </c>
      <c r="D15" s="32" t="s">
        <v>111</v>
      </c>
      <c r="E15" s="46">
        <v>23</v>
      </c>
      <c r="F15" s="47">
        <v>30</v>
      </c>
      <c r="G15" s="48">
        <v>226</v>
      </c>
      <c r="H15" s="49">
        <f>H14-G15</f>
        <v>1361</v>
      </c>
      <c r="I15" s="50">
        <f t="shared" si="0"/>
        <v>9.6170212765957448</v>
      </c>
      <c r="J15" s="51">
        <f>(SUM(G14:G15))/((SUM(E14:E15)+((SUM(F14:F15)/60))))</f>
        <v>9.7029702970297027</v>
      </c>
      <c r="K15" s="52">
        <v>92.3</v>
      </c>
      <c r="L15" s="32">
        <v>27</v>
      </c>
      <c r="M15" s="53">
        <v>22.6</v>
      </c>
      <c r="N15" s="54">
        <v>0</v>
      </c>
      <c r="O15" s="55">
        <v>0.2</v>
      </c>
      <c r="P15" s="56">
        <v>0</v>
      </c>
      <c r="Q15" s="57">
        <f t="shared" si="1"/>
        <v>159.08000000000001</v>
      </c>
      <c r="R15" s="58">
        <f t="shared" si="1"/>
        <v>0</v>
      </c>
      <c r="S15" s="59">
        <f t="shared" si="1"/>
        <v>64.8</v>
      </c>
      <c r="T15" s="60">
        <f t="shared" si="1"/>
        <v>0</v>
      </c>
      <c r="U15" s="61">
        <v>0</v>
      </c>
      <c r="V15" s="62">
        <f>V14-U15</f>
        <v>173</v>
      </c>
      <c r="W15" s="30" t="s">
        <v>112</v>
      </c>
      <c r="X15" s="19" t="s">
        <v>113</v>
      </c>
      <c r="Y15" s="19">
        <v>4</v>
      </c>
      <c r="Z15" s="19" t="s">
        <v>113</v>
      </c>
      <c r="AA15" s="20">
        <v>3</v>
      </c>
      <c r="AB15" s="27" t="s">
        <v>114</v>
      </c>
      <c r="AC15" s="63">
        <v>142</v>
      </c>
      <c r="AD15" s="64">
        <f>AD14-AC15</f>
        <v>7446</v>
      </c>
      <c r="AE15" s="65">
        <v>0</v>
      </c>
      <c r="AF15" s="64">
        <f>AF14-AE15</f>
        <v>16000</v>
      </c>
      <c r="AG15" s="65">
        <v>150</v>
      </c>
      <c r="AH15" s="66">
        <f>AH14-AG15</f>
        <v>1150</v>
      </c>
      <c r="AI15" s="65">
        <v>4860</v>
      </c>
      <c r="AJ15" s="65">
        <v>19.600000000000001</v>
      </c>
      <c r="AK15" s="65">
        <v>3.2</v>
      </c>
      <c r="AL15" s="65">
        <v>0</v>
      </c>
      <c r="AM15" s="65">
        <v>0</v>
      </c>
      <c r="AN15" s="65">
        <v>0</v>
      </c>
      <c r="AO15" s="65">
        <v>23.5</v>
      </c>
      <c r="AP15" s="122" t="s">
        <v>115</v>
      </c>
      <c r="AQ15" s="45">
        <f t="shared" ref="AQ15:AQ64" si="2">IF(Y15&lt;5,G15,0)</f>
        <v>226</v>
      </c>
      <c r="AR15" s="45">
        <f t="shared" ref="AR15:AR64" si="3">IF(Y15&lt;5,(((E15*60)+(F15))/60),0)</f>
        <v>23.5</v>
      </c>
      <c r="AS15">
        <f t="shared" ref="AS15:AS64" si="4">IF(Y15&lt;5,M15,0)</f>
        <v>22.6</v>
      </c>
      <c r="AT15">
        <f t="shared" ref="AT15:AT64" si="5">IF(Y15&lt;5,N15,0)</f>
        <v>0</v>
      </c>
      <c r="AU15">
        <f t="shared" ref="AU15:AU64" si="6">IF(Y15&lt;5,O15,0)</f>
        <v>0.2</v>
      </c>
      <c r="AV15">
        <f t="shared" ref="AV15:AV64" si="7">IF(Y15&lt;5,P15,0)</f>
        <v>0</v>
      </c>
    </row>
    <row r="16" spans="1:48" ht="15" customHeight="1" x14ac:dyDescent="0.2">
      <c r="A16" s="30" t="s">
        <v>116</v>
      </c>
      <c r="B16" s="18" t="s">
        <v>117</v>
      </c>
      <c r="C16" s="31" t="s">
        <v>118</v>
      </c>
      <c r="D16" s="32" t="s">
        <v>119</v>
      </c>
      <c r="E16" s="46">
        <v>24</v>
      </c>
      <c r="F16" s="47">
        <v>0</v>
      </c>
      <c r="G16" s="48">
        <v>235</v>
      </c>
      <c r="H16" s="49">
        <f t="shared" ref="H16:H64" si="8">H15-G16</f>
        <v>1126</v>
      </c>
      <c r="I16" s="50">
        <f t="shared" si="0"/>
        <v>9.7916666666666661</v>
      </c>
      <c r="J16" s="51">
        <f>(SUM(G14:G16))/((SUM(E14:E16)+((SUM(F14:F16)/60))))</f>
        <v>9.746192893401016</v>
      </c>
      <c r="K16" s="52">
        <v>94.1</v>
      </c>
      <c r="L16" s="32">
        <v>27.1</v>
      </c>
      <c r="M16" s="53">
        <v>23.6</v>
      </c>
      <c r="N16" s="54">
        <v>0</v>
      </c>
      <c r="O16" s="55">
        <v>0.2</v>
      </c>
      <c r="P16" s="56">
        <v>0</v>
      </c>
      <c r="Q16" s="57">
        <f>Q15-M16</f>
        <v>135.48000000000002</v>
      </c>
      <c r="R16" s="58">
        <f t="shared" si="1"/>
        <v>0</v>
      </c>
      <c r="S16" s="59">
        <f t="shared" si="1"/>
        <v>64.599999999999994</v>
      </c>
      <c r="T16" s="60">
        <f t="shared" si="1"/>
        <v>0</v>
      </c>
      <c r="U16" s="61">
        <v>-3</v>
      </c>
      <c r="V16" s="62">
        <f t="shared" ref="V16:V64" si="9">V15-U16</f>
        <v>176</v>
      </c>
      <c r="W16" s="30" t="s">
        <v>112</v>
      </c>
      <c r="X16" s="31" t="s">
        <v>120</v>
      </c>
      <c r="Y16" s="31">
        <v>4</v>
      </c>
      <c r="Z16" s="31" t="s">
        <v>120</v>
      </c>
      <c r="AA16" s="32">
        <v>3</v>
      </c>
      <c r="AB16" s="27" t="s">
        <v>121</v>
      </c>
      <c r="AC16" s="63">
        <v>147</v>
      </c>
      <c r="AD16" s="64">
        <f t="shared" ref="AD16:AD64" si="10">AD15-AC16</f>
        <v>7299</v>
      </c>
      <c r="AE16" s="65">
        <v>0</v>
      </c>
      <c r="AF16" s="64">
        <f t="shared" ref="AF16:AF64" si="11">AF15-AE16</f>
        <v>16000</v>
      </c>
      <c r="AG16" s="65">
        <v>150</v>
      </c>
      <c r="AH16" s="66">
        <f t="shared" ref="AH16:AH64" si="12">AH15-AG16</f>
        <v>1000</v>
      </c>
      <c r="AI16" s="65">
        <v>4859</v>
      </c>
      <c r="AJ16" s="65">
        <v>20</v>
      </c>
      <c r="AK16" s="65">
        <v>3.8</v>
      </c>
      <c r="AL16" s="65">
        <v>0</v>
      </c>
      <c r="AM16" s="65">
        <v>24</v>
      </c>
      <c r="AN16" s="65">
        <v>0</v>
      </c>
      <c r="AO16" s="65">
        <v>0</v>
      </c>
      <c r="AP16" s="122" t="s">
        <v>122</v>
      </c>
      <c r="AQ16" s="45">
        <f t="shared" si="2"/>
        <v>235</v>
      </c>
      <c r="AR16" s="45">
        <f t="shared" si="3"/>
        <v>24</v>
      </c>
      <c r="AS16">
        <f t="shared" si="4"/>
        <v>23.6</v>
      </c>
      <c r="AT16">
        <f t="shared" si="5"/>
        <v>0</v>
      </c>
      <c r="AU16">
        <f t="shared" si="6"/>
        <v>0.2</v>
      </c>
      <c r="AV16">
        <f t="shared" si="7"/>
        <v>0</v>
      </c>
    </row>
    <row r="17" spans="1:48" ht="15" customHeight="1" x14ac:dyDescent="0.2">
      <c r="A17" s="30" t="s">
        <v>123</v>
      </c>
      <c r="B17" s="18" t="s">
        <v>124</v>
      </c>
      <c r="C17" s="31" t="s">
        <v>125</v>
      </c>
      <c r="D17" s="32" t="s">
        <v>126</v>
      </c>
      <c r="E17" s="46">
        <v>23</v>
      </c>
      <c r="F17" s="47">
        <v>0</v>
      </c>
      <c r="G17" s="48">
        <v>236</v>
      </c>
      <c r="H17" s="49">
        <f t="shared" si="8"/>
        <v>890</v>
      </c>
      <c r="I17" s="50">
        <f t="shared" si="0"/>
        <v>10.260869565217391</v>
      </c>
      <c r="J17" s="51">
        <f>(SUM(G14:G17))/((SUM(E14:E17)+((SUM(F14:F17)/60))))</f>
        <v>9.9100346020761254</v>
      </c>
      <c r="K17" s="52">
        <v>89.1</v>
      </c>
      <c r="L17" s="32">
        <v>22.6</v>
      </c>
      <c r="M17" s="53">
        <v>22.4</v>
      </c>
      <c r="N17" s="54">
        <v>0</v>
      </c>
      <c r="O17" s="55">
        <v>0.2</v>
      </c>
      <c r="P17" s="56">
        <v>0</v>
      </c>
      <c r="Q17" s="57">
        <f>Q16-M17</f>
        <v>113.08000000000001</v>
      </c>
      <c r="R17" s="58">
        <f t="shared" si="1"/>
        <v>0</v>
      </c>
      <c r="S17" s="59">
        <f t="shared" si="1"/>
        <v>64.399999999999991</v>
      </c>
      <c r="T17" s="60">
        <f t="shared" si="1"/>
        <v>0</v>
      </c>
      <c r="U17" s="61">
        <v>-1</v>
      </c>
      <c r="V17" s="62">
        <f>V16-U17</f>
        <v>177</v>
      </c>
      <c r="W17" s="30" t="s">
        <v>112</v>
      </c>
      <c r="X17" s="31" t="s">
        <v>120</v>
      </c>
      <c r="Y17" s="31">
        <v>4</v>
      </c>
      <c r="Z17" s="31" t="s">
        <v>120</v>
      </c>
      <c r="AA17" s="32">
        <v>3</v>
      </c>
      <c r="AB17" s="27" t="s">
        <v>127</v>
      </c>
      <c r="AC17" s="63">
        <v>143</v>
      </c>
      <c r="AD17" s="64">
        <f t="shared" si="10"/>
        <v>7156</v>
      </c>
      <c r="AE17" s="65">
        <v>1500</v>
      </c>
      <c r="AF17" s="64">
        <f t="shared" si="11"/>
        <v>14500</v>
      </c>
      <c r="AG17" s="65">
        <v>0</v>
      </c>
      <c r="AH17" s="66">
        <f t="shared" si="12"/>
        <v>1000</v>
      </c>
      <c r="AI17" s="65">
        <v>4923</v>
      </c>
      <c r="AJ17" s="65">
        <v>19.899999999999999</v>
      </c>
      <c r="AK17" s="65">
        <v>2.7</v>
      </c>
      <c r="AL17" s="65">
        <v>0</v>
      </c>
      <c r="AM17" s="65">
        <v>23</v>
      </c>
      <c r="AN17" s="65">
        <v>0</v>
      </c>
      <c r="AO17" s="65">
        <v>0</v>
      </c>
      <c r="AP17" s="122" t="s">
        <v>128</v>
      </c>
      <c r="AQ17" s="45">
        <f t="shared" si="2"/>
        <v>236</v>
      </c>
      <c r="AR17" s="45">
        <f t="shared" si="3"/>
        <v>23</v>
      </c>
      <c r="AS17">
        <f t="shared" si="4"/>
        <v>22.4</v>
      </c>
      <c r="AT17">
        <f t="shared" si="5"/>
        <v>0</v>
      </c>
      <c r="AU17">
        <f t="shared" si="6"/>
        <v>0.2</v>
      </c>
      <c r="AV17">
        <f t="shared" si="7"/>
        <v>0</v>
      </c>
    </row>
    <row r="18" spans="1:48" ht="15" customHeight="1" x14ac:dyDescent="0.2">
      <c r="A18" s="30"/>
      <c r="B18" s="18"/>
      <c r="C18" s="31"/>
      <c r="D18" s="32"/>
      <c r="E18" s="46"/>
      <c r="F18" s="47"/>
      <c r="G18" s="48"/>
      <c r="H18" s="49">
        <f t="shared" si="8"/>
        <v>890</v>
      </c>
      <c r="I18" s="50" t="e">
        <f t="shared" si="0"/>
        <v>#DIV/0!</v>
      </c>
      <c r="J18" s="51">
        <f>(SUM(G14:G18))/((SUM(E14:E18)+((SUM(F14:F18)/60))))</f>
        <v>9.9100346020761254</v>
      </c>
      <c r="K18" s="52"/>
      <c r="L18" s="32"/>
      <c r="M18" s="53"/>
      <c r="N18" s="54"/>
      <c r="O18" s="55"/>
      <c r="P18" s="56"/>
      <c r="Q18" s="57">
        <f t="shared" ref="Q18:T33" si="13">Q17-M18</f>
        <v>113.08000000000001</v>
      </c>
      <c r="R18" s="58">
        <f t="shared" si="1"/>
        <v>0</v>
      </c>
      <c r="S18" s="59">
        <f t="shared" si="1"/>
        <v>64.399999999999991</v>
      </c>
      <c r="T18" s="60">
        <f t="shared" si="1"/>
        <v>0</v>
      </c>
      <c r="U18" s="61"/>
      <c r="V18" s="62">
        <f t="shared" si="9"/>
        <v>177</v>
      </c>
      <c r="W18" s="30"/>
      <c r="X18" s="31"/>
      <c r="Y18" s="31"/>
      <c r="Z18" s="31"/>
      <c r="AA18" s="32"/>
      <c r="AB18" s="27"/>
      <c r="AC18" s="63"/>
      <c r="AD18" s="64">
        <f t="shared" si="10"/>
        <v>7156</v>
      </c>
      <c r="AE18" s="65"/>
      <c r="AF18" s="64">
        <f t="shared" si="11"/>
        <v>14500</v>
      </c>
      <c r="AG18" s="65"/>
      <c r="AH18" s="66">
        <f t="shared" si="12"/>
        <v>1000</v>
      </c>
      <c r="AI18" s="65"/>
      <c r="AJ18" s="65"/>
      <c r="AK18" s="65"/>
      <c r="AL18" s="65"/>
      <c r="AM18" s="65"/>
      <c r="AN18" s="65"/>
      <c r="AO18" s="65"/>
      <c r="AP18" s="122"/>
      <c r="AQ18" s="45">
        <f t="shared" si="2"/>
        <v>0</v>
      </c>
      <c r="AR18" s="45">
        <f t="shared" si="3"/>
        <v>0</v>
      </c>
      <c r="AS18">
        <f t="shared" si="4"/>
        <v>0</v>
      </c>
      <c r="AT18">
        <f t="shared" si="5"/>
        <v>0</v>
      </c>
      <c r="AU18">
        <f t="shared" si="6"/>
        <v>0</v>
      </c>
      <c r="AV18">
        <f t="shared" si="7"/>
        <v>0</v>
      </c>
    </row>
    <row r="19" spans="1:48" ht="15" customHeight="1" x14ac:dyDescent="0.2">
      <c r="A19" s="30"/>
      <c r="B19" s="18"/>
      <c r="C19" s="31"/>
      <c r="D19" s="32"/>
      <c r="E19" s="46"/>
      <c r="F19" s="47"/>
      <c r="G19" s="48"/>
      <c r="H19" s="49">
        <f t="shared" si="8"/>
        <v>890</v>
      </c>
      <c r="I19" s="50" t="e">
        <f t="shared" si="0"/>
        <v>#DIV/0!</v>
      </c>
      <c r="J19" s="51">
        <f>(SUM(G14:G19))/((SUM(E14:E19)+((SUM(F14:F19)/60))))</f>
        <v>9.9100346020761254</v>
      </c>
      <c r="K19" s="52"/>
      <c r="L19" s="32"/>
      <c r="M19" s="53"/>
      <c r="N19" s="54"/>
      <c r="O19" s="55"/>
      <c r="P19" s="56"/>
      <c r="Q19" s="57">
        <f t="shared" si="13"/>
        <v>113.08000000000001</v>
      </c>
      <c r="R19" s="58">
        <f t="shared" si="1"/>
        <v>0</v>
      </c>
      <c r="S19" s="59">
        <f t="shared" si="1"/>
        <v>64.399999999999991</v>
      </c>
      <c r="T19" s="60">
        <f t="shared" si="1"/>
        <v>0</v>
      </c>
      <c r="U19" s="61"/>
      <c r="V19" s="62">
        <f t="shared" si="9"/>
        <v>177</v>
      </c>
      <c r="W19" s="30"/>
      <c r="X19" s="31"/>
      <c r="Y19" s="31"/>
      <c r="Z19" s="31"/>
      <c r="AA19" s="32"/>
      <c r="AB19" s="27"/>
      <c r="AC19" s="63"/>
      <c r="AD19" s="64">
        <f t="shared" si="10"/>
        <v>7156</v>
      </c>
      <c r="AE19" s="65"/>
      <c r="AF19" s="64">
        <f t="shared" si="11"/>
        <v>14500</v>
      </c>
      <c r="AG19" s="65"/>
      <c r="AH19" s="64">
        <f t="shared" si="12"/>
        <v>1000</v>
      </c>
      <c r="AI19" s="65"/>
      <c r="AJ19" s="65"/>
      <c r="AK19" s="65"/>
      <c r="AL19" s="65"/>
      <c r="AM19" s="65"/>
      <c r="AN19" s="65"/>
      <c r="AO19" s="65"/>
      <c r="AP19" s="122"/>
      <c r="AQ19" s="45">
        <f t="shared" si="2"/>
        <v>0</v>
      </c>
      <c r="AR19" s="45">
        <f t="shared" si="3"/>
        <v>0</v>
      </c>
      <c r="AS19">
        <f t="shared" si="4"/>
        <v>0</v>
      </c>
      <c r="AT19">
        <f t="shared" si="5"/>
        <v>0</v>
      </c>
      <c r="AU19">
        <f t="shared" si="6"/>
        <v>0</v>
      </c>
      <c r="AV19">
        <f t="shared" si="7"/>
        <v>0</v>
      </c>
    </row>
    <row r="20" spans="1:48" ht="15" customHeight="1" x14ac:dyDescent="0.2">
      <c r="A20" s="30"/>
      <c r="B20" s="18"/>
      <c r="C20" s="31"/>
      <c r="D20" s="32"/>
      <c r="E20" s="46"/>
      <c r="F20" s="47"/>
      <c r="G20" s="48"/>
      <c r="H20" s="49">
        <f t="shared" si="8"/>
        <v>890</v>
      </c>
      <c r="I20" s="50" t="e">
        <f t="shared" si="0"/>
        <v>#DIV/0!</v>
      </c>
      <c r="J20" s="51">
        <f>(SUM(G14:G20))/((SUM(E14:E20)+((SUM(F14:F20)/60))))</f>
        <v>9.9100346020761254</v>
      </c>
      <c r="K20" s="52"/>
      <c r="L20" s="32"/>
      <c r="M20" s="53"/>
      <c r="N20" s="54"/>
      <c r="O20" s="55"/>
      <c r="P20" s="56"/>
      <c r="Q20" s="57">
        <f t="shared" si="13"/>
        <v>113.08000000000001</v>
      </c>
      <c r="R20" s="58">
        <f t="shared" si="1"/>
        <v>0</v>
      </c>
      <c r="S20" s="59">
        <f t="shared" si="1"/>
        <v>64.399999999999991</v>
      </c>
      <c r="T20" s="60">
        <f t="shared" si="1"/>
        <v>0</v>
      </c>
      <c r="U20" s="61"/>
      <c r="V20" s="62">
        <f t="shared" si="9"/>
        <v>177</v>
      </c>
      <c r="W20" s="30"/>
      <c r="X20" s="31"/>
      <c r="Y20" s="31"/>
      <c r="Z20" s="31"/>
      <c r="AA20" s="32"/>
      <c r="AB20" s="27"/>
      <c r="AC20" s="63"/>
      <c r="AD20" s="64">
        <f t="shared" si="10"/>
        <v>7156</v>
      </c>
      <c r="AE20" s="65"/>
      <c r="AF20" s="64">
        <f t="shared" si="11"/>
        <v>14500</v>
      </c>
      <c r="AG20" s="65"/>
      <c r="AH20" s="64">
        <f t="shared" si="12"/>
        <v>1000</v>
      </c>
      <c r="AI20" s="65"/>
      <c r="AJ20" s="65"/>
      <c r="AK20" s="65"/>
      <c r="AL20" s="65"/>
      <c r="AM20" s="65"/>
      <c r="AN20" s="65"/>
      <c r="AO20" s="65"/>
      <c r="AP20" s="122"/>
      <c r="AQ20" s="45">
        <f t="shared" si="2"/>
        <v>0</v>
      </c>
      <c r="AR20" s="45">
        <f t="shared" si="3"/>
        <v>0</v>
      </c>
      <c r="AS20">
        <f t="shared" si="4"/>
        <v>0</v>
      </c>
      <c r="AT20">
        <f t="shared" si="5"/>
        <v>0</v>
      </c>
      <c r="AU20">
        <f t="shared" si="6"/>
        <v>0</v>
      </c>
      <c r="AV20">
        <f t="shared" si="7"/>
        <v>0</v>
      </c>
    </row>
    <row r="21" spans="1:48" ht="15" customHeight="1" x14ac:dyDescent="0.2">
      <c r="A21" s="30"/>
      <c r="B21" s="18"/>
      <c r="C21" s="31"/>
      <c r="D21" s="32"/>
      <c r="E21" s="46"/>
      <c r="F21" s="47"/>
      <c r="G21" s="48"/>
      <c r="H21" s="49">
        <f t="shared" si="8"/>
        <v>890</v>
      </c>
      <c r="I21" s="50" t="e">
        <f t="shared" si="0"/>
        <v>#DIV/0!</v>
      </c>
      <c r="J21" s="51">
        <f>(SUM(G14:G21))/((SUM(E14:E21)+((SUM(F14:F21)/60))))</f>
        <v>9.9100346020761254</v>
      </c>
      <c r="K21" s="52"/>
      <c r="L21" s="32"/>
      <c r="M21" s="53"/>
      <c r="N21" s="54"/>
      <c r="O21" s="55"/>
      <c r="P21" s="56"/>
      <c r="Q21" s="57">
        <f t="shared" si="13"/>
        <v>113.08000000000001</v>
      </c>
      <c r="R21" s="58">
        <f t="shared" si="1"/>
        <v>0</v>
      </c>
      <c r="S21" s="59">
        <f t="shared" si="1"/>
        <v>64.399999999999991</v>
      </c>
      <c r="T21" s="60">
        <f t="shared" si="1"/>
        <v>0</v>
      </c>
      <c r="U21" s="61"/>
      <c r="V21" s="62">
        <f t="shared" si="9"/>
        <v>177</v>
      </c>
      <c r="W21" s="30"/>
      <c r="X21" s="31"/>
      <c r="Y21" s="31"/>
      <c r="Z21" s="31"/>
      <c r="AA21" s="32"/>
      <c r="AB21" s="27"/>
      <c r="AC21" s="63"/>
      <c r="AD21" s="64">
        <f t="shared" si="10"/>
        <v>7156</v>
      </c>
      <c r="AE21" s="65"/>
      <c r="AF21" s="64">
        <f t="shared" si="11"/>
        <v>14500</v>
      </c>
      <c r="AG21" s="65"/>
      <c r="AH21" s="64">
        <f t="shared" si="12"/>
        <v>1000</v>
      </c>
      <c r="AI21" s="65"/>
      <c r="AJ21" s="65"/>
      <c r="AK21" s="65"/>
      <c r="AL21" s="65"/>
      <c r="AM21" s="65"/>
      <c r="AN21" s="65"/>
      <c r="AO21" s="65"/>
      <c r="AP21" s="122"/>
      <c r="AQ21" s="45">
        <f t="shared" si="2"/>
        <v>0</v>
      </c>
      <c r="AR21" s="45">
        <f t="shared" si="3"/>
        <v>0</v>
      </c>
      <c r="AS21">
        <f t="shared" si="4"/>
        <v>0</v>
      </c>
      <c r="AT21">
        <f t="shared" si="5"/>
        <v>0</v>
      </c>
      <c r="AU21">
        <f t="shared" si="6"/>
        <v>0</v>
      </c>
      <c r="AV21">
        <f t="shared" si="7"/>
        <v>0</v>
      </c>
    </row>
    <row r="22" spans="1:48" x14ac:dyDescent="0.2">
      <c r="A22" s="30"/>
      <c r="B22" s="18"/>
      <c r="C22" s="31"/>
      <c r="D22" s="67"/>
      <c r="E22" s="46"/>
      <c r="F22" s="47"/>
      <c r="G22" s="48"/>
      <c r="H22" s="49">
        <f t="shared" si="8"/>
        <v>890</v>
      </c>
      <c r="I22" s="50" t="e">
        <f t="shared" si="0"/>
        <v>#DIV/0!</v>
      </c>
      <c r="J22" s="51">
        <f>(SUM(G14:G22))/((SUM(E14:E22)+((SUM(F14:F22)/60))))</f>
        <v>9.9100346020761254</v>
      </c>
      <c r="K22" s="52"/>
      <c r="L22" s="32"/>
      <c r="M22" s="53"/>
      <c r="N22" s="54"/>
      <c r="O22" s="55"/>
      <c r="P22" s="56"/>
      <c r="Q22" s="57">
        <f t="shared" si="13"/>
        <v>113.08000000000001</v>
      </c>
      <c r="R22" s="58">
        <f t="shared" si="1"/>
        <v>0</v>
      </c>
      <c r="S22" s="59">
        <f t="shared" si="1"/>
        <v>64.399999999999991</v>
      </c>
      <c r="T22" s="60">
        <f t="shared" si="1"/>
        <v>0</v>
      </c>
      <c r="U22" s="61"/>
      <c r="V22" s="62">
        <f t="shared" si="9"/>
        <v>177</v>
      </c>
      <c r="W22" s="30"/>
      <c r="X22" s="31"/>
      <c r="Y22" s="31"/>
      <c r="Z22" s="31"/>
      <c r="AA22" s="32"/>
      <c r="AB22" s="27"/>
      <c r="AC22" s="63"/>
      <c r="AD22" s="64">
        <f t="shared" si="10"/>
        <v>7156</v>
      </c>
      <c r="AE22" s="65"/>
      <c r="AF22" s="64">
        <f t="shared" si="11"/>
        <v>14500</v>
      </c>
      <c r="AG22" s="65"/>
      <c r="AH22" s="64">
        <f t="shared" si="12"/>
        <v>1000</v>
      </c>
      <c r="AI22" s="65"/>
      <c r="AJ22" s="65"/>
      <c r="AK22" s="65"/>
      <c r="AL22" s="65"/>
      <c r="AM22" s="65"/>
      <c r="AN22" s="65"/>
      <c r="AO22" s="65"/>
      <c r="AP22" s="122"/>
      <c r="AQ22" s="45">
        <f t="shared" si="2"/>
        <v>0</v>
      </c>
      <c r="AR22" s="45">
        <f t="shared" si="3"/>
        <v>0</v>
      </c>
      <c r="AS22">
        <f t="shared" si="4"/>
        <v>0</v>
      </c>
      <c r="AT22">
        <f t="shared" si="5"/>
        <v>0</v>
      </c>
      <c r="AU22">
        <f t="shared" si="6"/>
        <v>0</v>
      </c>
      <c r="AV22">
        <f t="shared" si="7"/>
        <v>0</v>
      </c>
    </row>
    <row r="23" spans="1:48" x14ac:dyDescent="0.2">
      <c r="A23" s="30"/>
      <c r="B23" s="18"/>
      <c r="C23" s="31"/>
      <c r="D23" s="67"/>
      <c r="E23" s="46"/>
      <c r="F23" s="47"/>
      <c r="G23" s="48"/>
      <c r="H23" s="49">
        <f t="shared" si="8"/>
        <v>890</v>
      </c>
      <c r="I23" s="50" t="e">
        <f t="shared" si="0"/>
        <v>#DIV/0!</v>
      </c>
      <c r="J23" s="51">
        <f>(SUM(G14:G23))/((SUM(E14:E23)+((SUM(F14:F23)/60))))</f>
        <v>9.9100346020761254</v>
      </c>
      <c r="K23" s="52"/>
      <c r="L23" s="32"/>
      <c r="M23" s="53"/>
      <c r="N23" s="54"/>
      <c r="O23" s="55"/>
      <c r="P23" s="56"/>
      <c r="Q23" s="57">
        <f t="shared" si="13"/>
        <v>113.08000000000001</v>
      </c>
      <c r="R23" s="58">
        <f t="shared" si="1"/>
        <v>0</v>
      </c>
      <c r="S23" s="59">
        <f t="shared" si="1"/>
        <v>64.399999999999991</v>
      </c>
      <c r="T23" s="60">
        <f t="shared" si="1"/>
        <v>0</v>
      </c>
      <c r="U23" s="61"/>
      <c r="V23" s="62">
        <f t="shared" si="9"/>
        <v>177</v>
      </c>
      <c r="W23" s="30"/>
      <c r="X23" s="31"/>
      <c r="Y23" s="31"/>
      <c r="Z23" s="31"/>
      <c r="AA23" s="32"/>
      <c r="AB23" s="27"/>
      <c r="AC23" s="63"/>
      <c r="AD23" s="64">
        <f t="shared" si="10"/>
        <v>7156</v>
      </c>
      <c r="AE23" s="65"/>
      <c r="AF23" s="64">
        <f t="shared" si="11"/>
        <v>14500</v>
      </c>
      <c r="AG23" s="65"/>
      <c r="AH23" s="64">
        <f t="shared" si="12"/>
        <v>1000</v>
      </c>
      <c r="AI23" s="65"/>
      <c r="AJ23" s="65"/>
      <c r="AK23" s="65"/>
      <c r="AL23" s="65"/>
      <c r="AM23" s="65"/>
      <c r="AN23" s="65"/>
      <c r="AO23" s="65"/>
      <c r="AP23" s="122"/>
      <c r="AQ23" s="45">
        <f t="shared" si="2"/>
        <v>0</v>
      </c>
      <c r="AR23" s="45">
        <f t="shared" si="3"/>
        <v>0</v>
      </c>
      <c r="AS23">
        <f t="shared" si="4"/>
        <v>0</v>
      </c>
      <c r="AT23">
        <f t="shared" si="5"/>
        <v>0</v>
      </c>
      <c r="AU23">
        <f t="shared" si="6"/>
        <v>0</v>
      </c>
      <c r="AV23">
        <f t="shared" si="7"/>
        <v>0</v>
      </c>
    </row>
    <row r="24" spans="1:48" x14ac:dyDescent="0.2">
      <c r="A24" s="30"/>
      <c r="B24" s="18"/>
      <c r="C24" s="31"/>
      <c r="D24" s="67"/>
      <c r="E24" s="46"/>
      <c r="F24" s="47"/>
      <c r="G24" s="48"/>
      <c r="H24" s="49">
        <f t="shared" si="8"/>
        <v>890</v>
      </c>
      <c r="I24" s="50" t="e">
        <f t="shared" si="0"/>
        <v>#DIV/0!</v>
      </c>
      <c r="J24" s="51">
        <f>(SUM(G14:G24))/((SUM(E14:E24)+((SUM(F14:F24)/60))))</f>
        <v>9.9100346020761254</v>
      </c>
      <c r="K24" s="52"/>
      <c r="L24" s="32"/>
      <c r="M24" s="53"/>
      <c r="N24" s="54"/>
      <c r="O24" s="55"/>
      <c r="P24" s="56"/>
      <c r="Q24" s="57">
        <f t="shared" si="13"/>
        <v>113.08000000000001</v>
      </c>
      <c r="R24" s="58">
        <f t="shared" si="1"/>
        <v>0</v>
      </c>
      <c r="S24" s="59">
        <f t="shared" si="1"/>
        <v>64.399999999999991</v>
      </c>
      <c r="T24" s="60">
        <f t="shared" si="1"/>
        <v>0</v>
      </c>
      <c r="U24" s="61"/>
      <c r="V24" s="62">
        <f t="shared" si="9"/>
        <v>177</v>
      </c>
      <c r="W24" s="30"/>
      <c r="X24" s="31"/>
      <c r="Y24" s="31"/>
      <c r="Z24" s="31"/>
      <c r="AA24" s="32"/>
      <c r="AB24" s="27"/>
      <c r="AC24" s="63"/>
      <c r="AD24" s="64">
        <f t="shared" si="10"/>
        <v>7156</v>
      </c>
      <c r="AE24" s="65"/>
      <c r="AF24" s="64">
        <f t="shared" si="11"/>
        <v>14500</v>
      </c>
      <c r="AG24" s="65"/>
      <c r="AH24" s="64">
        <f t="shared" si="12"/>
        <v>1000</v>
      </c>
      <c r="AI24" s="65"/>
      <c r="AJ24" s="65"/>
      <c r="AK24" s="65"/>
      <c r="AL24" s="65"/>
      <c r="AM24" s="65"/>
      <c r="AN24" s="65"/>
      <c r="AO24" s="65"/>
      <c r="AP24" s="122"/>
      <c r="AQ24" s="45">
        <f t="shared" si="2"/>
        <v>0</v>
      </c>
      <c r="AR24" s="45">
        <f t="shared" si="3"/>
        <v>0</v>
      </c>
      <c r="AS24">
        <f t="shared" si="4"/>
        <v>0</v>
      </c>
      <c r="AT24">
        <f t="shared" si="5"/>
        <v>0</v>
      </c>
      <c r="AU24">
        <f t="shared" si="6"/>
        <v>0</v>
      </c>
      <c r="AV24">
        <f t="shared" si="7"/>
        <v>0</v>
      </c>
    </row>
    <row r="25" spans="1:48" x14ac:dyDescent="0.2">
      <c r="A25" s="30"/>
      <c r="B25" s="18"/>
      <c r="C25" s="31"/>
      <c r="D25" s="67"/>
      <c r="E25" s="46"/>
      <c r="F25" s="47"/>
      <c r="G25" s="48"/>
      <c r="H25" s="49">
        <f t="shared" si="8"/>
        <v>890</v>
      </c>
      <c r="I25" s="50" t="e">
        <f t="shared" si="0"/>
        <v>#DIV/0!</v>
      </c>
      <c r="J25" s="51">
        <f>(SUM(G14:G25))/((SUM(E14:E25)+((SUM(F14:F25)/60))))</f>
        <v>9.9100346020761254</v>
      </c>
      <c r="K25" s="52"/>
      <c r="L25" s="32"/>
      <c r="M25" s="53"/>
      <c r="N25" s="54"/>
      <c r="O25" s="55"/>
      <c r="P25" s="56"/>
      <c r="Q25" s="57">
        <f t="shared" si="13"/>
        <v>113.08000000000001</v>
      </c>
      <c r="R25" s="58">
        <f t="shared" si="1"/>
        <v>0</v>
      </c>
      <c r="S25" s="59">
        <f t="shared" si="1"/>
        <v>64.399999999999991</v>
      </c>
      <c r="T25" s="60">
        <f t="shared" si="1"/>
        <v>0</v>
      </c>
      <c r="U25" s="61"/>
      <c r="V25" s="62">
        <f t="shared" si="9"/>
        <v>177</v>
      </c>
      <c r="W25" s="30"/>
      <c r="X25" s="31"/>
      <c r="Y25" s="31"/>
      <c r="Z25" s="31"/>
      <c r="AA25" s="32"/>
      <c r="AB25" s="27"/>
      <c r="AC25" s="63"/>
      <c r="AD25" s="64">
        <f t="shared" si="10"/>
        <v>7156</v>
      </c>
      <c r="AE25" s="65"/>
      <c r="AF25" s="64">
        <f t="shared" si="11"/>
        <v>14500</v>
      </c>
      <c r="AG25" s="65"/>
      <c r="AH25" s="64">
        <f t="shared" si="12"/>
        <v>1000</v>
      </c>
      <c r="AI25" s="65"/>
      <c r="AJ25" s="65"/>
      <c r="AK25" s="65"/>
      <c r="AL25" s="65"/>
      <c r="AM25" s="65"/>
      <c r="AN25" s="65"/>
      <c r="AO25" s="65"/>
      <c r="AP25" s="122"/>
      <c r="AQ25" s="45">
        <f t="shared" si="2"/>
        <v>0</v>
      </c>
      <c r="AR25" s="45">
        <f t="shared" si="3"/>
        <v>0</v>
      </c>
      <c r="AS25">
        <f t="shared" si="4"/>
        <v>0</v>
      </c>
      <c r="AT25">
        <f t="shared" si="5"/>
        <v>0</v>
      </c>
      <c r="AU25">
        <f t="shared" si="6"/>
        <v>0</v>
      </c>
      <c r="AV25">
        <f t="shared" si="7"/>
        <v>0</v>
      </c>
    </row>
    <row r="26" spans="1:48" x14ac:dyDescent="0.2">
      <c r="A26" s="30"/>
      <c r="B26" s="18"/>
      <c r="C26" s="31"/>
      <c r="D26" s="67"/>
      <c r="E26" s="46"/>
      <c r="F26" s="47"/>
      <c r="G26" s="48"/>
      <c r="H26" s="49">
        <f t="shared" si="8"/>
        <v>890</v>
      </c>
      <c r="I26" s="50" t="e">
        <f t="shared" si="0"/>
        <v>#DIV/0!</v>
      </c>
      <c r="J26" s="51">
        <f>(SUM(G14:G26))/((SUM(E14:E26)+((SUM(F14:F26)/60))))</f>
        <v>9.9100346020761254</v>
      </c>
      <c r="K26" s="52"/>
      <c r="L26" s="32"/>
      <c r="M26" s="53"/>
      <c r="N26" s="54"/>
      <c r="O26" s="55"/>
      <c r="P26" s="56"/>
      <c r="Q26" s="57">
        <f t="shared" si="13"/>
        <v>113.08000000000001</v>
      </c>
      <c r="R26" s="58">
        <f t="shared" si="1"/>
        <v>0</v>
      </c>
      <c r="S26" s="59">
        <f t="shared" si="1"/>
        <v>64.399999999999991</v>
      </c>
      <c r="T26" s="60">
        <f t="shared" si="1"/>
        <v>0</v>
      </c>
      <c r="U26" s="61"/>
      <c r="V26" s="62">
        <f t="shared" si="9"/>
        <v>177</v>
      </c>
      <c r="W26" s="30"/>
      <c r="X26" s="31"/>
      <c r="Y26" s="31"/>
      <c r="Z26" s="31"/>
      <c r="AA26" s="32"/>
      <c r="AB26" s="27"/>
      <c r="AC26" s="63"/>
      <c r="AD26" s="64">
        <f t="shared" si="10"/>
        <v>7156</v>
      </c>
      <c r="AE26" s="65"/>
      <c r="AF26" s="64">
        <f t="shared" si="11"/>
        <v>14500</v>
      </c>
      <c r="AG26" s="65"/>
      <c r="AH26" s="64">
        <f t="shared" si="12"/>
        <v>1000</v>
      </c>
      <c r="AI26" s="65"/>
      <c r="AJ26" s="65"/>
      <c r="AK26" s="65"/>
      <c r="AL26" s="65"/>
      <c r="AM26" s="65"/>
      <c r="AN26" s="65"/>
      <c r="AO26" s="65"/>
      <c r="AP26" s="122"/>
      <c r="AQ26" s="45">
        <f t="shared" si="2"/>
        <v>0</v>
      </c>
      <c r="AR26" s="45">
        <f t="shared" si="3"/>
        <v>0</v>
      </c>
      <c r="AS26">
        <f t="shared" si="4"/>
        <v>0</v>
      </c>
      <c r="AT26">
        <f t="shared" si="5"/>
        <v>0</v>
      </c>
      <c r="AU26">
        <f t="shared" si="6"/>
        <v>0</v>
      </c>
      <c r="AV26">
        <f t="shared" si="7"/>
        <v>0</v>
      </c>
    </row>
    <row r="27" spans="1:48" x14ac:dyDescent="0.2">
      <c r="A27" s="30"/>
      <c r="B27" s="18"/>
      <c r="C27" s="31"/>
      <c r="D27" s="67"/>
      <c r="E27" s="46"/>
      <c r="F27" s="47"/>
      <c r="G27" s="48"/>
      <c r="H27" s="49">
        <f t="shared" si="8"/>
        <v>890</v>
      </c>
      <c r="I27" s="50" t="e">
        <f t="shared" si="0"/>
        <v>#DIV/0!</v>
      </c>
      <c r="J27" s="51">
        <f>(SUM(G14:G27))/((SUM(E14:E27)+((SUM(F14:F27)/60))))</f>
        <v>9.9100346020761254</v>
      </c>
      <c r="K27" s="52"/>
      <c r="L27" s="32"/>
      <c r="M27" s="53"/>
      <c r="N27" s="54"/>
      <c r="O27" s="55"/>
      <c r="P27" s="56"/>
      <c r="Q27" s="57">
        <f t="shared" si="13"/>
        <v>113.08000000000001</v>
      </c>
      <c r="R27" s="58">
        <f t="shared" si="1"/>
        <v>0</v>
      </c>
      <c r="S27" s="59">
        <f t="shared" si="1"/>
        <v>64.399999999999991</v>
      </c>
      <c r="T27" s="60">
        <f t="shared" si="1"/>
        <v>0</v>
      </c>
      <c r="U27" s="61"/>
      <c r="V27" s="62">
        <f t="shared" si="9"/>
        <v>177</v>
      </c>
      <c r="W27" s="30"/>
      <c r="X27" s="31"/>
      <c r="Y27" s="31"/>
      <c r="Z27" s="31"/>
      <c r="AA27" s="32"/>
      <c r="AB27" s="27"/>
      <c r="AC27" s="63"/>
      <c r="AD27" s="64">
        <f t="shared" si="10"/>
        <v>7156</v>
      </c>
      <c r="AE27" s="65"/>
      <c r="AF27" s="64">
        <f t="shared" si="11"/>
        <v>14500</v>
      </c>
      <c r="AG27" s="65"/>
      <c r="AH27" s="64">
        <f t="shared" si="12"/>
        <v>1000</v>
      </c>
      <c r="AI27" s="65"/>
      <c r="AJ27" s="65"/>
      <c r="AK27" s="65"/>
      <c r="AL27" s="65"/>
      <c r="AM27" s="65"/>
      <c r="AN27" s="65"/>
      <c r="AO27" s="65"/>
      <c r="AP27" s="122"/>
      <c r="AQ27" s="45">
        <f t="shared" si="2"/>
        <v>0</v>
      </c>
      <c r="AR27" s="45">
        <f t="shared" si="3"/>
        <v>0</v>
      </c>
      <c r="AS27">
        <f t="shared" si="4"/>
        <v>0</v>
      </c>
      <c r="AT27">
        <f t="shared" si="5"/>
        <v>0</v>
      </c>
      <c r="AU27">
        <f t="shared" si="6"/>
        <v>0</v>
      </c>
      <c r="AV27">
        <f t="shared" si="7"/>
        <v>0</v>
      </c>
    </row>
    <row r="28" spans="1:48" x14ac:dyDescent="0.2">
      <c r="A28" s="30"/>
      <c r="B28" s="18"/>
      <c r="C28" s="31"/>
      <c r="D28" s="67"/>
      <c r="E28" s="46"/>
      <c r="F28" s="47"/>
      <c r="G28" s="48"/>
      <c r="H28" s="49">
        <f t="shared" si="8"/>
        <v>890</v>
      </c>
      <c r="I28" s="50" t="e">
        <f t="shared" si="0"/>
        <v>#DIV/0!</v>
      </c>
      <c r="J28" s="51">
        <f>(SUM(G14:G28))/((SUM(E14:E28)+((SUM(F14:F28)/60))))</f>
        <v>9.9100346020761254</v>
      </c>
      <c r="K28" s="52"/>
      <c r="L28" s="32"/>
      <c r="M28" s="53"/>
      <c r="N28" s="54"/>
      <c r="O28" s="55"/>
      <c r="P28" s="56"/>
      <c r="Q28" s="57">
        <f t="shared" si="13"/>
        <v>113.08000000000001</v>
      </c>
      <c r="R28" s="58">
        <f t="shared" si="1"/>
        <v>0</v>
      </c>
      <c r="S28" s="59">
        <f t="shared" si="1"/>
        <v>64.399999999999991</v>
      </c>
      <c r="T28" s="60">
        <f t="shared" si="1"/>
        <v>0</v>
      </c>
      <c r="U28" s="61"/>
      <c r="V28" s="62">
        <f t="shared" si="9"/>
        <v>177</v>
      </c>
      <c r="W28" s="30"/>
      <c r="X28" s="31"/>
      <c r="Y28" s="31"/>
      <c r="Z28" s="31"/>
      <c r="AA28" s="32"/>
      <c r="AB28" s="27"/>
      <c r="AC28" s="63"/>
      <c r="AD28" s="64">
        <f t="shared" si="10"/>
        <v>7156</v>
      </c>
      <c r="AE28" s="65"/>
      <c r="AF28" s="64">
        <f t="shared" si="11"/>
        <v>14500</v>
      </c>
      <c r="AG28" s="65"/>
      <c r="AH28" s="64">
        <f t="shared" si="12"/>
        <v>1000</v>
      </c>
      <c r="AI28" s="65"/>
      <c r="AJ28" s="65"/>
      <c r="AK28" s="65"/>
      <c r="AL28" s="65"/>
      <c r="AM28" s="65"/>
      <c r="AN28" s="65"/>
      <c r="AO28" s="65"/>
      <c r="AP28" s="122"/>
      <c r="AQ28" s="45">
        <f t="shared" si="2"/>
        <v>0</v>
      </c>
      <c r="AR28" s="45">
        <f t="shared" si="3"/>
        <v>0</v>
      </c>
      <c r="AS28">
        <f t="shared" si="4"/>
        <v>0</v>
      </c>
      <c r="AT28">
        <f t="shared" si="5"/>
        <v>0</v>
      </c>
      <c r="AU28">
        <f t="shared" si="6"/>
        <v>0</v>
      </c>
      <c r="AV28">
        <f t="shared" si="7"/>
        <v>0</v>
      </c>
    </row>
    <row r="29" spans="1:48" x14ac:dyDescent="0.2">
      <c r="A29" s="30"/>
      <c r="B29" s="18"/>
      <c r="C29" s="31"/>
      <c r="D29" s="67"/>
      <c r="E29" s="46"/>
      <c r="F29" s="47"/>
      <c r="G29" s="48"/>
      <c r="H29" s="49">
        <f t="shared" si="8"/>
        <v>890</v>
      </c>
      <c r="I29" s="50" t="e">
        <f t="shared" si="0"/>
        <v>#DIV/0!</v>
      </c>
      <c r="J29" s="51">
        <f>(SUM(G14:G29))/((SUM(E14:E29)+((SUM(F14:F29)/60))))</f>
        <v>9.9100346020761254</v>
      </c>
      <c r="K29" s="52"/>
      <c r="L29" s="32"/>
      <c r="M29" s="53"/>
      <c r="N29" s="54"/>
      <c r="O29" s="55"/>
      <c r="P29" s="56"/>
      <c r="Q29" s="57">
        <f t="shared" si="13"/>
        <v>113.08000000000001</v>
      </c>
      <c r="R29" s="58">
        <f t="shared" si="1"/>
        <v>0</v>
      </c>
      <c r="S29" s="59">
        <f t="shared" si="1"/>
        <v>64.399999999999991</v>
      </c>
      <c r="T29" s="60">
        <f t="shared" si="1"/>
        <v>0</v>
      </c>
      <c r="U29" s="61"/>
      <c r="V29" s="62">
        <f t="shared" si="9"/>
        <v>177</v>
      </c>
      <c r="W29" s="30"/>
      <c r="X29" s="31"/>
      <c r="Y29" s="31"/>
      <c r="Z29" s="31"/>
      <c r="AA29" s="32"/>
      <c r="AB29" s="27"/>
      <c r="AC29" s="63"/>
      <c r="AD29" s="64">
        <f t="shared" si="10"/>
        <v>7156</v>
      </c>
      <c r="AE29" s="65"/>
      <c r="AF29" s="64">
        <f t="shared" si="11"/>
        <v>14500</v>
      </c>
      <c r="AG29" s="65"/>
      <c r="AH29" s="64">
        <f t="shared" si="12"/>
        <v>1000</v>
      </c>
      <c r="AI29" s="65"/>
      <c r="AJ29" s="65"/>
      <c r="AK29" s="65"/>
      <c r="AL29" s="65"/>
      <c r="AM29" s="65"/>
      <c r="AN29" s="65"/>
      <c r="AO29" s="65"/>
      <c r="AP29" s="122"/>
      <c r="AQ29" s="45">
        <f t="shared" si="2"/>
        <v>0</v>
      </c>
      <c r="AR29" s="45">
        <f t="shared" si="3"/>
        <v>0</v>
      </c>
      <c r="AS29">
        <f t="shared" si="4"/>
        <v>0</v>
      </c>
      <c r="AT29">
        <f t="shared" si="5"/>
        <v>0</v>
      </c>
      <c r="AU29">
        <f t="shared" si="6"/>
        <v>0</v>
      </c>
      <c r="AV29">
        <f t="shared" si="7"/>
        <v>0</v>
      </c>
    </row>
    <row r="30" spans="1:48" x14ac:dyDescent="0.2">
      <c r="A30" s="30"/>
      <c r="B30" s="18"/>
      <c r="C30" s="31"/>
      <c r="D30" s="67"/>
      <c r="E30" s="46"/>
      <c r="F30" s="47"/>
      <c r="G30" s="48"/>
      <c r="H30" s="49">
        <f t="shared" si="8"/>
        <v>890</v>
      </c>
      <c r="I30" s="50" t="e">
        <f t="shared" si="0"/>
        <v>#DIV/0!</v>
      </c>
      <c r="J30" s="51">
        <f>(SUM(G14:G30))/((SUM(E14:E30)+((SUM(F14:F30)/60))))</f>
        <v>9.9100346020761254</v>
      </c>
      <c r="K30" s="52"/>
      <c r="L30" s="32"/>
      <c r="M30" s="53"/>
      <c r="N30" s="54"/>
      <c r="O30" s="55"/>
      <c r="P30" s="56"/>
      <c r="Q30" s="57">
        <f t="shared" si="13"/>
        <v>113.08000000000001</v>
      </c>
      <c r="R30" s="58">
        <f t="shared" si="13"/>
        <v>0</v>
      </c>
      <c r="S30" s="59">
        <f t="shared" si="13"/>
        <v>64.399999999999991</v>
      </c>
      <c r="T30" s="60">
        <f t="shared" si="13"/>
        <v>0</v>
      </c>
      <c r="U30" s="61"/>
      <c r="V30" s="62">
        <f t="shared" si="9"/>
        <v>177</v>
      </c>
      <c r="W30" s="30"/>
      <c r="X30" s="31"/>
      <c r="Y30" s="31"/>
      <c r="Z30" s="31"/>
      <c r="AA30" s="32"/>
      <c r="AB30" s="27"/>
      <c r="AC30" s="63"/>
      <c r="AD30" s="64">
        <f t="shared" si="10"/>
        <v>7156</v>
      </c>
      <c r="AE30" s="65"/>
      <c r="AF30" s="64">
        <f t="shared" si="11"/>
        <v>14500</v>
      </c>
      <c r="AG30" s="65"/>
      <c r="AH30" s="64">
        <f t="shared" si="12"/>
        <v>1000</v>
      </c>
      <c r="AI30" s="65"/>
      <c r="AJ30" s="65"/>
      <c r="AK30" s="65"/>
      <c r="AL30" s="65"/>
      <c r="AM30" s="65"/>
      <c r="AN30" s="65"/>
      <c r="AO30" s="65"/>
      <c r="AP30" s="122"/>
      <c r="AQ30" s="45">
        <f t="shared" si="2"/>
        <v>0</v>
      </c>
      <c r="AR30" s="45">
        <f t="shared" si="3"/>
        <v>0</v>
      </c>
      <c r="AS30">
        <f t="shared" si="4"/>
        <v>0</v>
      </c>
      <c r="AT30">
        <f t="shared" si="5"/>
        <v>0</v>
      </c>
      <c r="AU30">
        <f t="shared" si="6"/>
        <v>0</v>
      </c>
      <c r="AV30">
        <f t="shared" si="7"/>
        <v>0</v>
      </c>
    </row>
    <row r="31" spans="1:48" x14ac:dyDescent="0.2">
      <c r="A31" s="30"/>
      <c r="B31" s="18"/>
      <c r="C31" s="31"/>
      <c r="D31" s="67"/>
      <c r="E31" s="46"/>
      <c r="F31" s="47"/>
      <c r="G31" s="48"/>
      <c r="H31" s="49">
        <f t="shared" si="8"/>
        <v>890</v>
      </c>
      <c r="I31" s="50" t="e">
        <f t="shared" si="0"/>
        <v>#DIV/0!</v>
      </c>
      <c r="J31" s="51">
        <f>(SUM(G14:G31))/((SUM(E14:E31)+((SUM(F14:F31)/60))))</f>
        <v>9.9100346020761254</v>
      </c>
      <c r="K31" s="52"/>
      <c r="L31" s="32"/>
      <c r="M31" s="53"/>
      <c r="N31" s="54"/>
      <c r="O31" s="55"/>
      <c r="P31" s="56"/>
      <c r="Q31" s="57">
        <f t="shared" si="13"/>
        <v>113.08000000000001</v>
      </c>
      <c r="R31" s="58">
        <f t="shared" si="13"/>
        <v>0</v>
      </c>
      <c r="S31" s="59">
        <f t="shared" si="13"/>
        <v>64.399999999999991</v>
      </c>
      <c r="T31" s="60">
        <f t="shared" si="13"/>
        <v>0</v>
      </c>
      <c r="U31" s="61"/>
      <c r="V31" s="62">
        <f t="shared" si="9"/>
        <v>177</v>
      </c>
      <c r="W31" s="30"/>
      <c r="X31" s="31"/>
      <c r="Y31" s="31"/>
      <c r="Z31" s="31"/>
      <c r="AA31" s="32"/>
      <c r="AB31" s="27"/>
      <c r="AC31" s="63"/>
      <c r="AD31" s="64">
        <f t="shared" si="10"/>
        <v>7156</v>
      </c>
      <c r="AE31" s="65"/>
      <c r="AF31" s="64">
        <f t="shared" si="11"/>
        <v>14500</v>
      </c>
      <c r="AG31" s="65"/>
      <c r="AH31" s="64">
        <f t="shared" si="12"/>
        <v>1000</v>
      </c>
      <c r="AI31" s="65"/>
      <c r="AJ31" s="65"/>
      <c r="AK31" s="65"/>
      <c r="AL31" s="65"/>
      <c r="AM31" s="65"/>
      <c r="AN31" s="65"/>
      <c r="AO31" s="65"/>
      <c r="AP31" s="122"/>
      <c r="AQ31" s="45">
        <f t="shared" si="2"/>
        <v>0</v>
      </c>
      <c r="AR31" s="45">
        <f t="shared" si="3"/>
        <v>0</v>
      </c>
      <c r="AS31">
        <f t="shared" si="4"/>
        <v>0</v>
      </c>
      <c r="AT31">
        <f t="shared" si="5"/>
        <v>0</v>
      </c>
      <c r="AU31">
        <f t="shared" si="6"/>
        <v>0</v>
      </c>
      <c r="AV31">
        <f t="shared" si="7"/>
        <v>0</v>
      </c>
    </row>
    <row r="32" spans="1:48" x14ac:dyDescent="0.2">
      <c r="A32" s="30"/>
      <c r="B32" s="18"/>
      <c r="C32" s="31"/>
      <c r="D32" s="67"/>
      <c r="E32" s="46"/>
      <c r="F32" s="47"/>
      <c r="G32" s="48"/>
      <c r="H32" s="49">
        <f t="shared" si="8"/>
        <v>890</v>
      </c>
      <c r="I32" s="50" t="e">
        <f t="shared" si="0"/>
        <v>#DIV/0!</v>
      </c>
      <c r="J32" s="51">
        <f>(SUM(G14:G32))/((SUM(E14:E32)+((SUM(F14:F32)/60))))</f>
        <v>9.9100346020761254</v>
      </c>
      <c r="K32" s="52"/>
      <c r="L32" s="32"/>
      <c r="M32" s="53"/>
      <c r="N32" s="54"/>
      <c r="O32" s="55"/>
      <c r="P32" s="56"/>
      <c r="Q32" s="57">
        <f t="shared" si="13"/>
        <v>113.08000000000001</v>
      </c>
      <c r="R32" s="58">
        <f t="shared" si="13"/>
        <v>0</v>
      </c>
      <c r="S32" s="59">
        <f t="shared" si="13"/>
        <v>64.399999999999991</v>
      </c>
      <c r="T32" s="60">
        <f t="shared" si="13"/>
        <v>0</v>
      </c>
      <c r="U32" s="61"/>
      <c r="V32" s="62">
        <f t="shared" si="9"/>
        <v>177</v>
      </c>
      <c r="W32" s="30"/>
      <c r="X32" s="31"/>
      <c r="Y32" s="31"/>
      <c r="Z32" s="31"/>
      <c r="AA32" s="32"/>
      <c r="AB32" s="27"/>
      <c r="AC32" s="63"/>
      <c r="AD32" s="64">
        <f t="shared" si="10"/>
        <v>7156</v>
      </c>
      <c r="AE32" s="65"/>
      <c r="AF32" s="64">
        <f t="shared" si="11"/>
        <v>14500</v>
      </c>
      <c r="AG32" s="65"/>
      <c r="AH32" s="64">
        <f t="shared" si="12"/>
        <v>1000</v>
      </c>
      <c r="AI32" s="65"/>
      <c r="AJ32" s="65"/>
      <c r="AK32" s="65"/>
      <c r="AL32" s="65"/>
      <c r="AM32" s="65"/>
      <c r="AN32" s="65"/>
      <c r="AO32" s="65"/>
      <c r="AP32" s="122"/>
      <c r="AQ32" s="45">
        <f t="shared" si="2"/>
        <v>0</v>
      </c>
      <c r="AR32" s="45">
        <f t="shared" si="3"/>
        <v>0</v>
      </c>
      <c r="AS32">
        <f t="shared" si="4"/>
        <v>0</v>
      </c>
      <c r="AT32">
        <f t="shared" si="5"/>
        <v>0</v>
      </c>
      <c r="AU32">
        <f t="shared" si="6"/>
        <v>0</v>
      </c>
      <c r="AV32">
        <f t="shared" si="7"/>
        <v>0</v>
      </c>
    </row>
    <row r="33" spans="1:48" x14ac:dyDescent="0.2">
      <c r="A33" s="30"/>
      <c r="B33" s="18"/>
      <c r="C33" s="31"/>
      <c r="D33" s="67"/>
      <c r="E33" s="46"/>
      <c r="F33" s="47"/>
      <c r="G33" s="48"/>
      <c r="H33" s="49">
        <f t="shared" si="8"/>
        <v>890</v>
      </c>
      <c r="I33" s="50" t="e">
        <f t="shared" si="0"/>
        <v>#DIV/0!</v>
      </c>
      <c r="J33" s="51">
        <f>(SUM(G14:G33))/((SUM(E14:E33)+((SUM(F14:F33)/60))))</f>
        <v>9.9100346020761254</v>
      </c>
      <c r="K33" s="52"/>
      <c r="L33" s="32"/>
      <c r="M33" s="53"/>
      <c r="N33" s="54"/>
      <c r="O33" s="55"/>
      <c r="P33" s="56"/>
      <c r="Q33" s="57">
        <f t="shared" si="13"/>
        <v>113.08000000000001</v>
      </c>
      <c r="R33" s="58">
        <f t="shared" si="13"/>
        <v>0</v>
      </c>
      <c r="S33" s="59">
        <f t="shared" si="13"/>
        <v>64.399999999999991</v>
      </c>
      <c r="T33" s="60">
        <f t="shared" si="13"/>
        <v>0</v>
      </c>
      <c r="U33" s="61"/>
      <c r="V33" s="62">
        <f t="shared" si="9"/>
        <v>177</v>
      </c>
      <c r="W33" s="30"/>
      <c r="X33" s="31"/>
      <c r="Y33" s="31"/>
      <c r="Z33" s="31"/>
      <c r="AA33" s="32"/>
      <c r="AB33" s="27"/>
      <c r="AC33" s="63"/>
      <c r="AD33" s="64">
        <f t="shared" si="10"/>
        <v>7156</v>
      </c>
      <c r="AE33" s="65"/>
      <c r="AF33" s="64">
        <f t="shared" si="11"/>
        <v>14500</v>
      </c>
      <c r="AG33" s="65"/>
      <c r="AH33" s="64">
        <f t="shared" si="12"/>
        <v>1000</v>
      </c>
      <c r="AI33" s="65"/>
      <c r="AJ33" s="65"/>
      <c r="AK33" s="65"/>
      <c r="AL33" s="65"/>
      <c r="AM33" s="65"/>
      <c r="AN33" s="65"/>
      <c r="AO33" s="65"/>
      <c r="AP33" s="122"/>
      <c r="AQ33" s="45">
        <f t="shared" si="2"/>
        <v>0</v>
      </c>
      <c r="AR33" s="45">
        <f t="shared" si="3"/>
        <v>0</v>
      </c>
      <c r="AS33">
        <f t="shared" si="4"/>
        <v>0</v>
      </c>
      <c r="AT33">
        <f t="shared" si="5"/>
        <v>0</v>
      </c>
      <c r="AU33">
        <f t="shared" si="6"/>
        <v>0</v>
      </c>
      <c r="AV33">
        <f t="shared" si="7"/>
        <v>0</v>
      </c>
    </row>
    <row r="34" spans="1:48" x14ac:dyDescent="0.2">
      <c r="A34" s="30"/>
      <c r="B34" s="18"/>
      <c r="C34" s="31"/>
      <c r="D34" s="67"/>
      <c r="E34" s="46"/>
      <c r="F34" s="47"/>
      <c r="G34" s="48"/>
      <c r="H34" s="49">
        <f t="shared" si="8"/>
        <v>890</v>
      </c>
      <c r="I34" s="50" t="e">
        <f t="shared" si="0"/>
        <v>#DIV/0!</v>
      </c>
      <c r="J34" s="51">
        <f>(SUM(G14:G34))/((SUM(E14:E34)+((SUM(F14:F34)/60))))</f>
        <v>9.9100346020761254</v>
      </c>
      <c r="K34" s="52"/>
      <c r="L34" s="32"/>
      <c r="M34" s="53"/>
      <c r="N34" s="54"/>
      <c r="O34" s="55"/>
      <c r="P34" s="56"/>
      <c r="Q34" s="57">
        <f t="shared" ref="Q34:T49" si="14">Q33-M34</f>
        <v>113.08000000000001</v>
      </c>
      <c r="R34" s="58">
        <f t="shared" si="14"/>
        <v>0</v>
      </c>
      <c r="S34" s="59">
        <f t="shared" si="14"/>
        <v>64.399999999999991</v>
      </c>
      <c r="T34" s="60">
        <f t="shared" si="14"/>
        <v>0</v>
      </c>
      <c r="U34" s="61"/>
      <c r="V34" s="62">
        <f t="shared" si="9"/>
        <v>177</v>
      </c>
      <c r="W34" s="30"/>
      <c r="X34" s="31"/>
      <c r="Y34" s="31"/>
      <c r="Z34" s="31"/>
      <c r="AA34" s="32"/>
      <c r="AB34" s="27"/>
      <c r="AC34" s="63"/>
      <c r="AD34" s="64">
        <f t="shared" si="10"/>
        <v>7156</v>
      </c>
      <c r="AE34" s="65"/>
      <c r="AF34" s="64">
        <f t="shared" si="11"/>
        <v>14500</v>
      </c>
      <c r="AG34" s="65"/>
      <c r="AH34" s="64">
        <f t="shared" si="12"/>
        <v>1000</v>
      </c>
      <c r="AI34" s="65"/>
      <c r="AJ34" s="65"/>
      <c r="AK34" s="65"/>
      <c r="AL34" s="65"/>
      <c r="AM34" s="65"/>
      <c r="AN34" s="65"/>
      <c r="AO34" s="65"/>
      <c r="AP34" s="122"/>
      <c r="AQ34" s="45">
        <f t="shared" si="2"/>
        <v>0</v>
      </c>
      <c r="AR34" s="45">
        <f t="shared" si="3"/>
        <v>0</v>
      </c>
      <c r="AS34">
        <f t="shared" si="4"/>
        <v>0</v>
      </c>
      <c r="AT34">
        <f t="shared" si="5"/>
        <v>0</v>
      </c>
      <c r="AU34">
        <f t="shared" si="6"/>
        <v>0</v>
      </c>
      <c r="AV34">
        <f t="shared" si="7"/>
        <v>0</v>
      </c>
    </row>
    <row r="35" spans="1:48" x14ac:dyDescent="0.2">
      <c r="A35" s="30"/>
      <c r="B35" s="18"/>
      <c r="C35" s="31"/>
      <c r="D35" s="67"/>
      <c r="E35" s="46"/>
      <c r="F35" s="47"/>
      <c r="G35" s="48"/>
      <c r="H35" s="49">
        <f t="shared" si="8"/>
        <v>890</v>
      </c>
      <c r="I35" s="50" t="e">
        <f t="shared" si="0"/>
        <v>#DIV/0!</v>
      </c>
      <c r="J35" s="51">
        <f>(SUM(G14:G35))/((SUM(E14:E35)+((SUM(F14:F35)/60))))</f>
        <v>9.9100346020761254</v>
      </c>
      <c r="K35" s="52"/>
      <c r="L35" s="32"/>
      <c r="M35" s="53"/>
      <c r="N35" s="54"/>
      <c r="O35" s="55"/>
      <c r="P35" s="56"/>
      <c r="Q35" s="57">
        <f t="shared" si="14"/>
        <v>113.08000000000001</v>
      </c>
      <c r="R35" s="58">
        <f t="shared" si="14"/>
        <v>0</v>
      </c>
      <c r="S35" s="59">
        <f t="shared" si="14"/>
        <v>64.399999999999991</v>
      </c>
      <c r="T35" s="60">
        <f t="shared" si="14"/>
        <v>0</v>
      </c>
      <c r="U35" s="61"/>
      <c r="V35" s="62">
        <f t="shared" si="9"/>
        <v>177</v>
      </c>
      <c r="W35" s="30"/>
      <c r="X35" s="31"/>
      <c r="Y35" s="31"/>
      <c r="Z35" s="31"/>
      <c r="AA35" s="32"/>
      <c r="AB35" s="27"/>
      <c r="AC35" s="63"/>
      <c r="AD35" s="64">
        <f t="shared" si="10"/>
        <v>7156</v>
      </c>
      <c r="AE35" s="65"/>
      <c r="AF35" s="64">
        <f t="shared" si="11"/>
        <v>14500</v>
      </c>
      <c r="AG35" s="65"/>
      <c r="AH35" s="64">
        <f t="shared" si="12"/>
        <v>1000</v>
      </c>
      <c r="AI35" s="65"/>
      <c r="AJ35" s="65"/>
      <c r="AK35" s="65"/>
      <c r="AL35" s="65"/>
      <c r="AM35" s="65"/>
      <c r="AN35" s="65"/>
      <c r="AO35" s="65"/>
      <c r="AP35" s="137"/>
      <c r="AQ35" s="45">
        <f t="shared" si="2"/>
        <v>0</v>
      </c>
      <c r="AR35" s="45">
        <f t="shared" si="3"/>
        <v>0</v>
      </c>
      <c r="AS35">
        <f t="shared" si="4"/>
        <v>0</v>
      </c>
      <c r="AT35">
        <f t="shared" si="5"/>
        <v>0</v>
      </c>
      <c r="AU35">
        <f t="shared" si="6"/>
        <v>0</v>
      </c>
      <c r="AV35">
        <f t="shared" si="7"/>
        <v>0</v>
      </c>
    </row>
    <row r="36" spans="1:48" x14ac:dyDescent="0.2">
      <c r="A36" s="30"/>
      <c r="B36" s="18"/>
      <c r="C36" s="31"/>
      <c r="D36" s="67"/>
      <c r="E36" s="46"/>
      <c r="F36" s="47"/>
      <c r="G36" s="48"/>
      <c r="H36" s="49">
        <f t="shared" si="8"/>
        <v>890</v>
      </c>
      <c r="I36" s="50" t="e">
        <f t="shared" si="0"/>
        <v>#DIV/0!</v>
      </c>
      <c r="J36" s="51">
        <f>(SUM(G14:G36))/((SUM(E14:E36)+((SUM(F14:F36)/60))))</f>
        <v>9.9100346020761254</v>
      </c>
      <c r="K36" s="52"/>
      <c r="L36" s="32"/>
      <c r="M36" s="53"/>
      <c r="N36" s="54"/>
      <c r="O36" s="55"/>
      <c r="P36" s="56"/>
      <c r="Q36" s="57">
        <f t="shared" si="14"/>
        <v>113.08000000000001</v>
      </c>
      <c r="R36" s="58">
        <f t="shared" si="14"/>
        <v>0</v>
      </c>
      <c r="S36" s="59">
        <f t="shared" si="14"/>
        <v>64.399999999999991</v>
      </c>
      <c r="T36" s="60">
        <f t="shared" si="14"/>
        <v>0</v>
      </c>
      <c r="U36" s="61"/>
      <c r="V36" s="62">
        <f t="shared" si="9"/>
        <v>177</v>
      </c>
      <c r="W36" s="30"/>
      <c r="X36" s="31"/>
      <c r="Y36" s="31"/>
      <c r="Z36" s="31"/>
      <c r="AA36" s="32"/>
      <c r="AB36" s="27"/>
      <c r="AC36" s="63"/>
      <c r="AD36" s="64">
        <f t="shared" si="10"/>
        <v>7156</v>
      </c>
      <c r="AE36" s="65"/>
      <c r="AF36" s="64">
        <f t="shared" si="11"/>
        <v>14500</v>
      </c>
      <c r="AG36" s="65"/>
      <c r="AH36" s="64">
        <f t="shared" si="12"/>
        <v>1000</v>
      </c>
      <c r="AI36" s="65"/>
      <c r="AJ36" s="65"/>
      <c r="AK36" s="65"/>
      <c r="AL36" s="65"/>
      <c r="AM36" s="65"/>
      <c r="AN36" s="65"/>
      <c r="AO36" s="65"/>
      <c r="AP36" s="122"/>
      <c r="AQ36" s="45">
        <f t="shared" si="2"/>
        <v>0</v>
      </c>
      <c r="AR36" s="45">
        <f t="shared" si="3"/>
        <v>0</v>
      </c>
      <c r="AS36">
        <f t="shared" si="4"/>
        <v>0</v>
      </c>
      <c r="AT36">
        <f t="shared" si="5"/>
        <v>0</v>
      </c>
      <c r="AU36">
        <f t="shared" si="6"/>
        <v>0</v>
      </c>
      <c r="AV36">
        <f t="shared" si="7"/>
        <v>0</v>
      </c>
    </row>
    <row r="37" spans="1:48" x14ac:dyDescent="0.2">
      <c r="A37" s="30"/>
      <c r="B37" s="18"/>
      <c r="C37" s="31"/>
      <c r="D37" s="67"/>
      <c r="E37" s="46"/>
      <c r="F37" s="47"/>
      <c r="G37" s="48"/>
      <c r="H37" s="49">
        <f t="shared" si="8"/>
        <v>890</v>
      </c>
      <c r="I37" s="50" t="e">
        <f t="shared" si="0"/>
        <v>#DIV/0!</v>
      </c>
      <c r="J37" s="51">
        <f>(SUM(G14:G37))/((SUM(E14:E37)+((SUM(F14:F37)/60))))</f>
        <v>9.9100346020761254</v>
      </c>
      <c r="K37" s="52"/>
      <c r="L37" s="32"/>
      <c r="M37" s="53"/>
      <c r="N37" s="54"/>
      <c r="O37" s="55"/>
      <c r="P37" s="56"/>
      <c r="Q37" s="57">
        <f t="shared" si="14"/>
        <v>113.08000000000001</v>
      </c>
      <c r="R37" s="58">
        <f t="shared" si="14"/>
        <v>0</v>
      </c>
      <c r="S37" s="59">
        <f t="shared" si="14"/>
        <v>64.399999999999991</v>
      </c>
      <c r="T37" s="60">
        <f t="shared" si="14"/>
        <v>0</v>
      </c>
      <c r="U37" s="61"/>
      <c r="V37" s="62">
        <f t="shared" si="9"/>
        <v>177</v>
      </c>
      <c r="W37" s="30"/>
      <c r="X37" s="31"/>
      <c r="Y37" s="31"/>
      <c r="Z37" s="31"/>
      <c r="AA37" s="32"/>
      <c r="AB37" s="27"/>
      <c r="AC37" s="63"/>
      <c r="AD37" s="64">
        <f t="shared" si="10"/>
        <v>7156</v>
      </c>
      <c r="AE37" s="65"/>
      <c r="AF37" s="64">
        <f t="shared" si="11"/>
        <v>14500</v>
      </c>
      <c r="AG37" s="65"/>
      <c r="AH37" s="64">
        <f t="shared" si="12"/>
        <v>1000</v>
      </c>
      <c r="AI37" s="65"/>
      <c r="AJ37" s="65"/>
      <c r="AK37" s="65"/>
      <c r="AL37" s="65"/>
      <c r="AM37" s="65"/>
      <c r="AN37" s="65"/>
      <c r="AO37" s="65"/>
      <c r="AP37" s="122"/>
      <c r="AQ37" s="45">
        <f t="shared" si="2"/>
        <v>0</v>
      </c>
      <c r="AR37" s="45">
        <f t="shared" si="3"/>
        <v>0</v>
      </c>
      <c r="AS37">
        <f t="shared" si="4"/>
        <v>0</v>
      </c>
      <c r="AT37">
        <f t="shared" si="5"/>
        <v>0</v>
      </c>
      <c r="AU37">
        <f t="shared" si="6"/>
        <v>0</v>
      </c>
      <c r="AV37">
        <f t="shared" si="7"/>
        <v>0</v>
      </c>
    </row>
    <row r="38" spans="1:48" x14ac:dyDescent="0.2">
      <c r="A38" s="30"/>
      <c r="B38" s="18"/>
      <c r="C38" s="31"/>
      <c r="D38" s="67"/>
      <c r="E38" s="46"/>
      <c r="F38" s="47"/>
      <c r="G38" s="48"/>
      <c r="H38" s="49">
        <f t="shared" si="8"/>
        <v>890</v>
      </c>
      <c r="I38" s="50" t="e">
        <f t="shared" si="0"/>
        <v>#DIV/0!</v>
      </c>
      <c r="J38" s="51">
        <f>(SUM(G14:G38))/((SUM(E14:E38)+((SUM(F14:F38)/60))))</f>
        <v>9.9100346020761254</v>
      </c>
      <c r="K38" s="52"/>
      <c r="L38" s="32"/>
      <c r="M38" s="53"/>
      <c r="N38" s="54"/>
      <c r="O38" s="55"/>
      <c r="P38" s="56"/>
      <c r="Q38" s="57">
        <f t="shared" si="14"/>
        <v>113.08000000000001</v>
      </c>
      <c r="R38" s="58">
        <f t="shared" si="14"/>
        <v>0</v>
      </c>
      <c r="S38" s="59">
        <f t="shared" si="14"/>
        <v>64.399999999999991</v>
      </c>
      <c r="T38" s="60">
        <f t="shared" si="14"/>
        <v>0</v>
      </c>
      <c r="U38" s="61"/>
      <c r="V38" s="62">
        <f t="shared" si="9"/>
        <v>177</v>
      </c>
      <c r="W38" s="30"/>
      <c r="X38" s="31"/>
      <c r="Y38" s="31"/>
      <c r="Z38" s="31"/>
      <c r="AA38" s="32"/>
      <c r="AB38" s="27"/>
      <c r="AC38" s="63"/>
      <c r="AD38" s="64">
        <f t="shared" si="10"/>
        <v>7156</v>
      </c>
      <c r="AE38" s="65"/>
      <c r="AF38" s="64">
        <f t="shared" si="11"/>
        <v>14500</v>
      </c>
      <c r="AG38" s="65"/>
      <c r="AH38" s="64">
        <f t="shared" si="12"/>
        <v>1000</v>
      </c>
      <c r="AI38" s="65"/>
      <c r="AJ38" s="65"/>
      <c r="AK38" s="65"/>
      <c r="AL38" s="65"/>
      <c r="AM38" s="65"/>
      <c r="AN38" s="65"/>
      <c r="AO38" s="65"/>
      <c r="AP38" s="122"/>
      <c r="AQ38" s="45">
        <f t="shared" si="2"/>
        <v>0</v>
      </c>
      <c r="AR38" s="45">
        <f t="shared" si="3"/>
        <v>0</v>
      </c>
      <c r="AS38">
        <f t="shared" si="4"/>
        <v>0</v>
      </c>
      <c r="AT38">
        <f t="shared" si="5"/>
        <v>0</v>
      </c>
      <c r="AU38">
        <f t="shared" si="6"/>
        <v>0</v>
      </c>
      <c r="AV38">
        <f t="shared" si="7"/>
        <v>0</v>
      </c>
    </row>
    <row r="39" spans="1:48" x14ac:dyDescent="0.2">
      <c r="A39" s="30"/>
      <c r="B39" s="18"/>
      <c r="C39" s="31"/>
      <c r="D39" s="67"/>
      <c r="E39" s="46"/>
      <c r="F39" s="47"/>
      <c r="G39" s="48"/>
      <c r="H39" s="49">
        <f t="shared" si="8"/>
        <v>890</v>
      </c>
      <c r="I39" s="50" t="e">
        <f t="shared" si="0"/>
        <v>#DIV/0!</v>
      </c>
      <c r="J39" s="51">
        <f>(SUM(G14:G39))/((SUM(E14:E39)+((SUM(F14:F39)/60))))</f>
        <v>9.9100346020761254</v>
      </c>
      <c r="K39" s="52"/>
      <c r="L39" s="32"/>
      <c r="M39" s="53"/>
      <c r="N39" s="54"/>
      <c r="O39" s="55"/>
      <c r="P39" s="56"/>
      <c r="Q39" s="57">
        <f t="shared" si="14"/>
        <v>113.08000000000001</v>
      </c>
      <c r="R39" s="58">
        <f t="shared" si="14"/>
        <v>0</v>
      </c>
      <c r="S39" s="59">
        <f t="shared" si="14"/>
        <v>64.399999999999991</v>
      </c>
      <c r="T39" s="60">
        <f t="shared" si="14"/>
        <v>0</v>
      </c>
      <c r="U39" s="61"/>
      <c r="V39" s="62">
        <f t="shared" si="9"/>
        <v>177</v>
      </c>
      <c r="W39" s="30"/>
      <c r="X39" s="31"/>
      <c r="Y39" s="31"/>
      <c r="Z39" s="31"/>
      <c r="AA39" s="32"/>
      <c r="AB39" s="27"/>
      <c r="AC39" s="63"/>
      <c r="AD39" s="64">
        <f t="shared" si="10"/>
        <v>7156</v>
      </c>
      <c r="AE39" s="65"/>
      <c r="AF39" s="64">
        <f t="shared" si="11"/>
        <v>14500</v>
      </c>
      <c r="AG39" s="65"/>
      <c r="AH39" s="64">
        <f t="shared" si="12"/>
        <v>1000</v>
      </c>
      <c r="AI39" s="65"/>
      <c r="AJ39" s="65"/>
      <c r="AK39" s="65"/>
      <c r="AL39" s="65"/>
      <c r="AM39" s="65"/>
      <c r="AN39" s="65"/>
      <c r="AO39" s="65"/>
      <c r="AP39" s="122"/>
      <c r="AQ39" s="45">
        <f t="shared" si="2"/>
        <v>0</v>
      </c>
      <c r="AR39" s="45">
        <f t="shared" si="3"/>
        <v>0</v>
      </c>
      <c r="AS39">
        <f t="shared" si="4"/>
        <v>0</v>
      </c>
      <c r="AT39">
        <f t="shared" si="5"/>
        <v>0</v>
      </c>
      <c r="AU39">
        <f t="shared" si="6"/>
        <v>0</v>
      </c>
      <c r="AV39">
        <f t="shared" si="7"/>
        <v>0</v>
      </c>
    </row>
    <row r="40" spans="1:48" x14ac:dyDescent="0.2">
      <c r="A40" s="30"/>
      <c r="B40" s="18"/>
      <c r="C40" s="31"/>
      <c r="D40" s="67"/>
      <c r="E40" s="46"/>
      <c r="F40" s="47"/>
      <c r="G40" s="48"/>
      <c r="H40" s="49">
        <f t="shared" si="8"/>
        <v>890</v>
      </c>
      <c r="I40" s="50" t="e">
        <f t="shared" si="0"/>
        <v>#DIV/0!</v>
      </c>
      <c r="J40" s="51">
        <f>(SUM(G14:G40))/((SUM(E14:E40)+((SUM(F14:F40)/60))))</f>
        <v>9.9100346020761254</v>
      </c>
      <c r="K40" s="52"/>
      <c r="L40" s="32"/>
      <c r="M40" s="53"/>
      <c r="N40" s="54"/>
      <c r="O40" s="55"/>
      <c r="P40" s="56"/>
      <c r="Q40" s="57">
        <f t="shared" si="14"/>
        <v>113.08000000000001</v>
      </c>
      <c r="R40" s="58">
        <f t="shared" si="14"/>
        <v>0</v>
      </c>
      <c r="S40" s="59">
        <f t="shared" si="14"/>
        <v>64.399999999999991</v>
      </c>
      <c r="T40" s="60">
        <f t="shared" si="14"/>
        <v>0</v>
      </c>
      <c r="U40" s="61"/>
      <c r="V40" s="62">
        <f t="shared" si="9"/>
        <v>177</v>
      </c>
      <c r="W40" s="30"/>
      <c r="X40" s="31"/>
      <c r="Y40" s="31"/>
      <c r="Z40" s="31"/>
      <c r="AA40" s="32"/>
      <c r="AB40" s="27"/>
      <c r="AC40" s="63"/>
      <c r="AD40" s="64">
        <f t="shared" si="10"/>
        <v>7156</v>
      </c>
      <c r="AE40" s="65"/>
      <c r="AF40" s="64">
        <f t="shared" si="11"/>
        <v>14500</v>
      </c>
      <c r="AG40" s="65"/>
      <c r="AH40" s="64">
        <f t="shared" si="12"/>
        <v>1000</v>
      </c>
      <c r="AI40" s="65"/>
      <c r="AJ40" s="65"/>
      <c r="AK40" s="65"/>
      <c r="AL40" s="65"/>
      <c r="AM40" s="65"/>
      <c r="AN40" s="65"/>
      <c r="AO40" s="65"/>
      <c r="AP40" s="122"/>
      <c r="AQ40" s="45">
        <f t="shared" si="2"/>
        <v>0</v>
      </c>
      <c r="AR40" s="45">
        <f t="shared" si="3"/>
        <v>0</v>
      </c>
      <c r="AS40">
        <f t="shared" si="4"/>
        <v>0</v>
      </c>
      <c r="AT40">
        <f t="shared" si="5"/>
        <v>0</v>
      </c>
      <c r="AU40">
        <f t="shared" si="6"/>
        <v>0</v>
      </c>
      <c r="AV40">
        <f t="shared" si="7"/>
        <v>0</v>
      </c>
    </row>
    <row r="41" spans="1:48" x14ac:dyDescent="0.2">
      <c r="A41" s="30"/>
      <c r="B41" s="18"/>
      <c r="C41" s="31"/>
      <c r="D41" s="67"/>
      <c r="E41" s="46"/>
      <c r="F41" s="47"/>
      <c r="G41" s="48"/>
      <c r="H41" s="49">
        <f t="shared" si="8"/>
        <v>890</v>
      </c>
      <c r="I41" s="50" t="e">
        <f t="shared" si="0"/>
        <v>#DIV/0!</v>
      </c>
      <c r="J41" s="51">
        <f>(SUM(G14:G41))/((SUM(E14:E41)+((SUM(F14:F41)/60))))</f>
        <v>9.9100346020761254</v>
      </c>
      <c r="K41" s="52"/>
      <c r="L41" s="32"/>
      <c r="M41" s="53"/>
      <c r="N41" s="54"/>
      <c r="O41" s="55"/>
      <c r="P41" s="56"/>
      <c r="Q41" s="57">
        <f t="shared" si="14"/>
        <v>113.08000000000001</v>
      </c>
      <c r="R41" s="58">
        <f t="shared" si="14"/>
        <v>0</v>
      </c>
      <c r="S41" s="59">
        <f t="shared" si="14"/>
        <v>64.399999999999991</v>
      </c>
      <c r="T41" s="60">
        <f t="shared" si="14"/>
        <v>0</v>
      </c>
      <c r="U41" s="61"/>
      <c r="V41" s="62">
        <f t="shared" si="9"/>
        <v>177</v>
      </c>
      <c r="W41" s="30"/>
      <c r="X41" s="31"/>
      <c r="Y41" s="31"/>
      <c r="Z41" s="31"/>
      <c r="AA41" s="32"/>
      <c r="AB41" s="27"/>
      <c r="AC41" s="63"/>
      <c r="AD41" s="64">
        <f t="shared" si="10"/>
        <v>7156</v>
      </c>
      <c r="AE41" s="65"/>
      <c r="AF41" s="64">
        <f t="shared" si="11"/>
        <v>14500</v>
      </c>
      <c r="AG41" s="65"/>
      <c r="AH41" s="64">
        <f t="shared" si="12"/>
        <v>1000</v>
      </c>
      <c r="AI41" s="65"/>
      <c r="AJ41" s="65"/>
      <c r="AK41" s="65"/>
      <c r="AL41" s="65"/>
      <c r="AM41" s="65"/>
      <c r="AN41" s="65"/>
      <c r="AO41" s="65"/>
      <c r="AP41" s="122"/>
      <c r="AQ41" s="45">
        <f t="shared" si="2"/>
        <v>0</v>
      </c>
      <c r="AR41" s="45">
        <f t="shared" si="3"/>
        <v>0</v>
      </c>
      <c r="AS41">
        <f t="shared" si="4"/>
        <v>0</v>
      </c>
      <c r="AT41">
        <f t="shared" si="5"/>
        <v>0</v>
      </c>
      <c r="AU41">
        <f t="shared" si="6"/>
        <v>0</v>
      </c>
      <c r="AV41">
        <f t="shared" si="7"/>
        <v>0</v>
      </c>
    </row>
    <row r="42" spans="1:48" x14ac:dyDescent="0.2">
      <c r="A42" s="30"/>
      <c r="B42" s="18"/>
      <c r="C42" s="31"/>
      <c r="D42" s="67"/>
      <c r="E42" s="46"/>
      <c r="F42" s="47"/>
      <c r="G42" s="48"/>
      <c r="H42" s="49">
        <f t="shared" si="8"/>
        <v>890</v>
      </c>
      <c r="I42" s="50" t="e">
        <f t="shared" si="0"/>
        <v>#DIV/0!</v>
      </c>
      <c r="J42" s="51">
        <f>(SUM(G14:G42))/((SUM(E14:E42)+((SUM(F14:F42)/60))))</f>
        <v>9.9100346020761254</v>
      </c>
      <c r="K42" s="52"/>
      <c r="L42" s="32"/>
      <c r="M42" s="53"/>
      <c r="N42" s="54"/>
      <c r="O42" s="55"/>
      <c r="P42" s="56"/>
      <c r="Q42" s="57">
        <f t="shared" si="14"/>
        <v>113.08000000000001</v>
      </c>
      <c r="R42" s="58">
        <f t="shared" si="14"/>
        <v>0</v>
      </c>
      <c r="S42" s="59">
        <f t="shared" si="14"/>
        <v>64.399999999999991</v>
      </c>
      <c r="T42" s="60">
        <f t="shared" si="14"/>
        <v>0</v>
      </c>
      <c r="U42" s="61"/>
      <c r="V42" s="62">
        <f t="shared" si="9"/>
        <v>177</v>
      </c>
      <c r="W42" s="30"/>
      <c r="X42" s="31"/>
      <c r="Y42" s="31"/>
      <c r="Z42" s="31"/>
      <c r="AA42" s="32"/>
      <c r="AB42" s="27"/>
      <c r="AC42" s="63"/>
      <c r="AD42" s="64">
        <f t="shared" si="10"/>
        <v>7156</v>
      </c>
      <c r="AE42" s="65"/>
      <c r="AF42" s="64">
        <f t="shared" si="11"/>
        <v>14500</v>
      </c>
      <c r="AG42" s="65"/>
      <c r="AH42" s="64">
        <f t="shared" si="12"/>
        <v>1000</v>
      </c>
      <c r="AI42" s="65"/>
      <c r="AJ42" s="65"/>
      <c r="AK42" s="65"/>
      <c r="AL42" s="65"/>
      <c r="AM42" s="65"/>
      <c r="AN42" s="65"/>
      <c r="AO42" s="65"/>
      <c r="AP42" s="122"/>
      <c r="AQ42" s="45">
        <f t="shared" si="2"/>
        <v>0</v>
      </c>
      <c r="AR42" s="45">
        <f t="shared" si="3"/>
        <v>0</v>
      </c>
      <c r="AS42">
        <f t="shared" si="4"/>
        <v>0</v>
      </c>
      <c r="AT42">
        <f t="shared" si="5"/>
        <v>0</v>
      </c>
      <c r="AU42">
        <f t="shared" si="6"/>
        <v>0</v>
      </c>
      <c r="AV42">
        <f t="shared" si="7"/>
        <v>0</v>
      </c>
    </row>
    <row r="43" spans="1:48" x14ac:dyDescent="0.2">
      <c r="A43" s="30"/>
      <c r="B43" s="18"/>
      <c r="C43" s="31"/>
      <c r="D43" s="67"/>
      <c r="E43" s="46"/>
      <c r="F43" s="47"/>
      <c r="G43" s="48"/>
      <c r="H43" s="49">
        <f t="shared" si="8"/>
        <v>890</v>
      </c>
      <c r="I43" s="50" t="e">
        <f t="shared" si="0"/>
        <v>#DIV/0!</v>
      </c>
      <c r="J43" s="51">
        <f>(SUM(G14:G43))/((SUM(E14:E43)+((SUM(F14:F43)/60))))</f>
        <v>9.9100346020761254</v>
      </c>
      <c r="K43" s="52"/>
      <c r="L43" s="32"/>
      <c r="M43" s="53"/>
      <c r="N43" s="54"/>
      <c r="O43" s="55"/>
      <c r="P43" s="56"/>
      <c r="Q43" s="57">
        <f t="shared" si="14"/>
        <v>113.08000000000001</v>
      </c>
      <c r="R43" s="58">
        <f t="shared" si="14"/>
        <v>0</v>
      </c>
      <c r="S43" s="59">
        <f t="shared" si="14"/>
        <v>64.399999999999991</v>
      </c>
      <c r="T43" s="60">
        <f t="shared" si="14"/>
        <v>0</v>
      </c>
      <c r="U43" s="61"/>
      <c r="V43" s="62">
        <f t="shared" si="9"/>
        <v>177</v>
      </c>
      <c r="W43" s="30"/>
      <c r="X43" s="31"/>
      <c r="Y43" s="31"/>
      <c r="Z43" s="31"/>
      <c r="AA43" s="32"/>
      <c r="AB43" s="27"/>
      <c r="AC43" s="63"/>
      <c r="AD43" s="64">
        <f t="shared" si="10"/>
        <v>7156</v>
      </c>
      <c r="AE43" s="65"/>
      <c r="AF43" s="64">
        <f t="shared" si="11"/>
        <v>14500</v>
      </c>
      <c r="AG43" s="65"/>
      <c r="AH43" s="64">
        <f t="shared" si="12"/>
        <v>1000</v>
      </c>
      <c r="AI43" s="65"/>
      <c r="AJ43" s="65"/>
      <c r="AK43" s="65"/>
      <c r="AL43" s="65"/>
      <c r="AM43" s="65"/>
      <c r="AN43" s="65"/>
      <c r="AO43" s="65"/>
      <c r="AP43" s="122"/>
      <c r="AQ43" s="45">
        <f t="shared" si="2"/>
        <v>0</v>
      </c>
      <c r="AR43" s="45">
        <f t="shared" si="3"/>
        <v>0</v>
      </c>
      <c r="AS43">
        <f t="shared" si="4"/>
        <v>0</v>
      </c>
      <c r="AT43">
        <f t="shared" si="5"/>
        <v>0</v>
      </c>
      <c r="AU43">
        <f t="shared" si="6"/>
        <v>0</v>
      </c>
      <c r="AV43">
        <f t="shared" si="7"/>
        <v>0</v>
      </c>
    </row>
    <row r="44" spans="1:48" x14ac:dyDescent="0.2">
      <c r="A44" s="30"/>
      <c r="B44" s="18"/>
      <c r="C44" s="31"/>
      <c r="D44" s="67"/>
      <c r="E44" s="46"/>
      <c r="F44" s="47"/>
      <c r="G44" s="48"/>
      <c r="H44" s="49">
        <f t="shared" si="8"/>
        <v>890</v>
      </c>
      <c r="I44" s="50" t="e">
        <f t="shared" si="0"/>
        <v>#DIV/0!</v>
      </c>
      <c r="J44" s="51">
        <f>(SUM(G14:G44))/((SUM(E14:E44)+((SUM(F14:F44)/60))))</f>
        <v>9.9100346020761254</v>
      </c>
      <c r="K44" s="52"/>
      <c r="L44" s="32"/>
      <c r="M44" s="53"/>
      <c r="N44" s="54"/>
      <c r="O44" s="55"/>
      <c r="P44" s="56"/>
      <c r="Q44" s="57">
        <f t="shared" si="14"/>
        <v>113.08000000000001</v>
      </c>
      <c r="R44" s="58">
        <f t="shared" si="14"/>
        <v>0</v>
      </c>
      <c r="S44" s="59">
        <f t="shared" si="14"/>
        <v>64.399999999999991</v>
      </c>
      <c r="T44" s="60">
        <f t="shared" si="14"/>
        <v>0</v>
      </c>
      <c r="U44" s="61"/>
      <c r="V44" s="62">
        <f t="shared" si="9"/>
        <v>177</v>
      </c>
      <c r="W44" s="30"/>
      <c r="X44" s="31"/>
      <c r="Y44" s="31"/>
      <c r="Z44" s="31"/>
      <c r="AA44" s="32"/>
      <c r="AB44" s="27"/>
      <c r="AC44" s="63"/>
      <c r="AD44" s="64">
        <f t="shared" si="10"/>
        <v>7156</v>
      </c>
      <c r="AE44" s="65"/>
      <c r="AF44" s="64">
        <f t="shared" si="11"/>
        <v>14500</v>
      </c>
      <c r="AG44" s="65"/>
      <c r="AH44" s="64">
        <f t="shared" si="12"/>
        <v>1000</v>
      </c>
      <c r="AI44" s="65"/>
      <c r="AJ44" s="65"/>
      <c r="AK44" s="65"/>
      <c r="AL44" s="65"/>
      <c r="AM44" s="65"/>
      <c r="AN44" s="65"/>
      <c r="AO44" s="65"/>
      <c r="AP44" s="122"/>
      <c r="AQ44" s="45">
        <f t="shared" si="2"/>
        <v>0</v>
      </c>
      <c r="AR44" s="45">
        <f t="shared" si="3"/>
        <v>0</v>
      </c>
      <c r="AS44">
        <f t="shared" si="4"/>
        <v>0</v>
      </c>
      <c r="AT44">
        <f t="shared" si="5"/>
        <v>0</v>
      </c>
      <c r="AU44">
        <f t="shared" si="6"/>
        <v>0</v>
      </c>
      <c r="AV44">
        <f t="shared" si="7"/>
        <v>0</v>
      </c>
    </row>
    <row r="45" spans="1:48" x14ac:dyDescent="0.2">
      <c r="A45" s="30"/>
      <c r="B45" s="31"/>
      <c r="C45" s="31"/>
      <c r="D45" s="67"/>
      <c r="E45" s="46"/>
      <c r="F45" s="47"/>
      <c r="G45" s="48"/>
      <c r="H45" s="49">
        <f t="shared" si="8"/>
        <v>890</v>
      </c>
      <c r="I45" s="50" t="e">
        <f t="shared" si="0"/>
        <v>#DIV/0!</v>
      </c>
      <c r="J45" s="51">
        <f>(SUM(G14:G45))/((SUM(E14:E45)+((SUM(F14:F45)/60))))</f>
        <v>9.9100346020761254</v>
      </c>
      <c r="K45" s="52"/>
      <c r="L45" s="32"/>
      <c r="M45" s="53"/>
      <c r="N45" s="54"/>
      <c r="O45" s="55"/>
      <c r="P45" s="56"/>
      <c r="Q45" s="57">
        <f t="shared" si="14"/>
        <v>113.08000000000001</v>
      </c>
      <c r="R45" s="58">
        <f t="shared" si="14"/>
        <v>0</v>
      </c>
      <c r="S45" s="59">
        <f t="shared" si="14"/>
        <v>64.399999999999991</v>
      </c>
      <c r="T45" s="60">
        <f t="shared" si="14"/>
        <v>0</v>
      </c>
      <c r="U45" s="61"/>
      <c r="V45" s="62">
        <f t="shared" si="9"/>
        <v>177</v>
      </c>
      <c r="W45" s="63"/>
      <c r="X45" s="31"/>
      <c r="Y45" s="31"/>
      <c r="Z45" s="31"/>
      <c r="AA45" s="32"/>
      <c r="AB45" s="27"/>
      <c r="AC45" s="63"/>
      <c r="AD45" s="64">
        <f t="shared" si="10"/>
        <v>7156</v>
      </c>
      <c r="AE45" s="65"/>
      <c r="AF45" s="64">
        <f t="shared" si="11"/>
        <v>14500</v>
      </c>
      <c r="AG45" s="65"/>
      <c r="AH45" s="64">
        <f t="shared" si="12"/>
        <v>1000</v>
      </c>
      <c r="AI45" s="65"/>
      <c r="AJ45" s="65"/>
      <c r="AK45" s="65"/>
      <c r="AL45" s="65"/>
      <c r="AM45" s="65"/>
      <c r="AN45" s="65"/>
      <c r="AO45" s="65"/>
      <c r="AP45" s="122"/>
      <c r="AQ45" s="45">
        <f t="shared" si="2"/>
        <v>0</v>
      </c>
      <c r="AR45" s="45">
        <f t="shared" si="3"/>
        <v>0</v>
      </c>
      <c r="AS45">
        <f t="shared" si="4"/>
        <v>0</v>
      </c>
      <c r="AT45">
        <f t="shared" si="5"/>
        <v>0</v>
      </c>
      <c r="AU45">
        <f t="shared" si="6"/>
        <v>0</v>
      </c>
      <c r="AV45">
        <f t="shared" si="7"/>
        <v>0</v>
      </c>
    </row>
    <row r="46" spans="1:48" x14ac:dyDescent="0.2">
      <c r="A46" s="30"/>
      <c r="B46" s="31"/>
      <c r="C46" s="31"/>
      <c r="D46" s="67"/>
      <c r="E46" s="46"/>
      <c r="F46" s="47"/>
      <c r="G46" s="48"/>
      <c r="H46" s="49">
        <f t="shared" si="8"/>
        <v>890</v>
      </c>
      <c r="I46" s="50" t="e">
        <f t="shared" si="0"/>
        <v>#DIV/0!</v>
      </c>
      <c r="J46" s="51">
        <f>(SUM(G14:G46))/((SUM(E14:E46)+((SUM(F14:F46)/60))))</f>
        <v>9.9100346020761254</v>
      </c>
      <c r="K46" s="52"/>
      <c r="L46" s="32"/>
      <c r="M46" s="53"/>
      <c r="N46" s="54"/>
      <c r="O46" s="55"/>
      <c r="P46" s="56"/>
      <c r="Q46" s="57">
        <f t="shared" si="14"/>
        <v>113.08000000000001</v>
      </c>
      <c r="R46" s="58">
        <f t="shared" si="14"/>
        <v>0</v>
      </c>
      <c r="S46" s="59">
        <f t="shared" si="14"/>
        <v>64.399999999999991</v>
      </c>
      <c r="T46" s="60">
        <f t="shared" si="14"/>
        <v>0</v>
      </c>
      <c r="U46" s="61"/>
      <c r="V46" s="62">
        <f t="shared" si="9"/>
        <v>177</v>
      </c>
      <c r="W46" s="63"/>
      <c r="X46" s="31"/>
      <c r="Y46" s="31"/>
      <c r="Z46" s="31"/>
      <c r="AA46" s="32"/>
      <c r="AB46" s="27"/>
      <c r="AC46" s="63"/>
      <c r="AD46" s="64">
        <f t="shared" si="10"/>
        <v>7156</v>
      </c>
      <c r="AE46" s="65"/>
      <c r="AF46" s="64">
        <f t="shared" si="11"/>
        <v>14500</v>
      </c>
      <c r="AG46" s="65"/>
      <c r="AH46" s="64">
        <f t="shared" si="12"/>
        <v>1000</v>
      </c>
      <c r="AI46" s="65"/>
      <c r="AJ46" s="65"/>
      <c r="AK46" s="65"/>
      <c r="AL46" s="65"/>
      <c r="AM46" s="65"/>
      <c r="AN46" s="65"/>
      <c r="AO46" s="65"/>
      <c r="AP46" s="122"/>
      <c r="AQ46" s="45">
        <f t="shared" si="2"/>
        <v>0</v>
      </c>
      <c r="AR46" s="45">
        <f t="shared" si="3"/>
        <v>0</v>
      </c>
      <c r="AS46">
        <f t="shared" si="4"/>
        <v>0</v>
      </c>
      <c r="AT46">
        <f t="shared" si="5"/>
        <v>0</v>
      </c>
      <c r="AU46">
        <f t="shared" si="6"/>
        <v>0</v>
      </c>
      <c r="AV46">
        <f t="shared" si="7"/>
        <v>0</v>
      </c>
    </row>
    <row r="47" spans="1:48" x14ac:dyDescent="0.2">
      <c r="A47" s="30"/>
      <c r="B47" s="31"/>
      <c r="C47" s="31"/>
      <c r="D47" s="67"/>
      <c r="E47" s="46"/>
      <c r="F47" s="47"/>
      <c r="G47" s="48"/>
      <c r="H47" s="49">
        <f t="shared" si="8"/>
        <v>890</v>
      </c>
      <c r="I47" s="50" t="e">
        <f t="shared" si="0"/>
        <v>#DIV/0!</v>
      </c>
      <c r="J47" s="51">
        <f>(SUM(G14:G47))/((SUM(E14:E47)+((SUM(F14:F47)/60))))</f>
        <v>9.9100346020761254</v>
      </c>
      <c r="K47" s="52"/>
      <c r="L47" s="32"/>
      <c r="M47" s="53"/>
      <c r="N47" s="54"/>
      <c r="O47" s="55"/>
      <c r="P47" s="56"/>
      <c r="Q47" s="57">
        <f t="shared" si="14"/>
        <v>113.08000000000001</v>
      </c>
      <c r="R47" s="58">
        <f t="shared" si="14"/>
        <v>0</v>
      </c>
      <c r="S47" s="59">
        <f t="shared" si="14"/>
        <v>64.399999999999991</v>
      </c>
      <c r="T47" s="60">
        <f t="shared" si="14"/>
        <v>0</v>
      </c>
      <c r="U47" s="63"/>
      <c r="V47" s="62">
        <f t="shared" si="9"/>
        <v>177</v>
      </c>
      <c r="W47" s="63"/>
      <c r="X47" s="31"/>
      <c r="Y47" s="31"/>
      <c r="Z47" s="31"/>
      <c r="AA47" s="32"/>
      <c r="AB47" s="74"/>
      <c r="AC47" s="63"/>
      <c r="AD47" s="64">
        <f t="shared" si="10"/>
        <v>7156</v>
      </c>
      <c r="AE47" s="65"/>
      <c r="AF47" s="64">
        <f t="shared" si="11"/>
        <v>14500</v>
      </c>
      <c r="AG47" s="65"/>
      <c r="AH47" s="64">
        <f t="shared" si="12"/>
        <v>1000</v>
      </c>
      <c r="AI47" s="65"/>
      <c r="AJ47" s="65"/>
      <c r="AK47" s="65"/>
      <c r="AL47" s="65"/>
      <c r="AM47" s="65"/>
      <c r="AN47" s="65"/>
      <c r="AO47" s="65"/>
      <c r="AP47" s="122"/>
      <c r="AQ47" s="45">
        <f t="shared" si="2"/>
        <v>0</v>
      </c>
      <c r="AR47" s="45">
        <f t="shared" si="3"/>
        <v>0</v>
      </c>
      <c r="AS47">
        <f t="shared" si="4"/>
        <v>0</v>
      </c>
      <c r="AT47">
        <f t="shared" si="5"/>
        <v>0</v>
      </c>
      <c r="AU47">
        <f t="shared" si="6"/>
        <v>0</v>
      </c>
      <c r="AV47">
        <f t="shared" si="7"/>
        <v>0</v>
      </c>
    </row>
    <row r="48" spans="1:48" x14ac:dyDescent="0.2">
      <c r="A48" s="30"/>
      <c r="B48" s="31"/>
      <c r="C48" s="65"/>
      <c r="D48" s="67"/>
      <c r="E48" s="46"/>
      <c r="F48" s="47"/>
      <c r="G48" s="48"/>
      <c r="H48" s="49">
        <f t="shared" si="8"/>
        <v>890</v>
      </c>
      <c r="I48" s="50" t="e">
        <f t="shared" si="0"/>
        <v>#DIV/0!</v>
      </c>
      <c r="J48" s="51">
        <f>(SUM(G14:G48))/((SUM(E14:E48)+((SUM(F14:F48)/60))))</f>
        <v>9.9100346020761254</v>
      </c>
      <c r="K48" s="63"/>
      <c r="L48" s="67"/>
      <c r="M48" s="71"/>
      <c r="N48" s="72"/>
      <c r="O48" s="65"/>
      <c r="P48" s="73"/>
      <c r="Q48" s="57">
        <f t="shared" si="14"/>
        <v>113.08000000000001</v>
      </c>
      <c r="R48" s="58">
        <f t="shared" si="14"/>
        <v>0</v>
      </c>
      <c r="S48" s="59">
        <f t="shared" si="14"/>
        <v>64.399999999999991</v>
      </c>
      <c r="T48" s="60">
        <f t="shared" si="14"/>
        <v>0</v>
      </c>
      <c r="U48" s="63"/>
      <c r="V48" s="62">
        <f t="shared" si="9"/>
        <v>177</v>
      </c>
      <c r="W48" s="63"/>
      <c r="X48" s="31"/>
      <c r="Y48" s="31"/>
      <c r="Z48" s="31"/>
      <c r="AA48" s="32"/>
      <c r="AB48" s="74"/>
      <c r="AC48" s="63"/>
      <c r="AD48" s="64">
        <f t="shared" si="10"/>
        <v>7156</v>
      </c>
      <c r="AE48" s="65"/>
      <c r="AF48" s="64">
        <f t="shared" si="11"/>
        <v>14500</v>
      </c>
      <c r="AG48" s="65"/>
      <c r="AH48" s="64">
        <f t="shared" si="12"/>
        <v>1000</v>
      </c>
      <c r="AI48" s="65"/>
      <c r="AJ48" s="65"/>
      <c r="AK48" s="65"/>
      <c r="AL48" s="65"/>
      <c r="AM48" s="65"/>
      <c r="AN48" s="65"/>
      <c r="AO48" s="65"/>
      <c r="AP48" s="122"/>
      <c r="AQ48" s="45">
        <f t="shared" si="2"/>
        <v>0</v>
      </c>
      <c r="AR48" s="45">
        <f t="shared" si="3"/>
        <v>0</v>
      </c>
      <c r="AS48">
        <f t="shared" si="4"/>
        <v>0</v>
      </c>
      <c r="AT48">
        <f t="shared" si="5"/>
        <v>0</v>
      </c>
      <c r="AU48">
        <f t="shared" si="6"/>
        <v>0</v>
      </c>
      <c r="AV48">
        <f t="shared" si="7"/>
        <v>0</v>
      </c>
    </row>
    <row r="49" spans="1:48" x14ac:dyDescent="0.2">
      <c r="A49" s="30"/>
      <c r="B49" s="31"/>
      <c r="C49" s="65"/>
      <c r="D49" s="67"/>
      <c r="E49" s="46"/>
      <c r="F49" s="47"/>
      <c r="G49" s="48"/>
      <c r="H49" s="49">
        <f t="shared" si="8"/>
        <v>890</v>
      </c>
      <c r="I49" s="50" t="e">
        <f t="shared" si="0"/>
        <v>#DIV/0!</v>
      </c>
      <c r="J49" s="51">
        <f>(SUM(G14:G49))/((SUM(E14:E49)+((SUM(F14:F49)/60))))</f>
        <v>9.9100346020761254</v>
      </c>
      <c r="K49" s="63"/>
      <c r="L49" s="67"/>
      <c r="M49" s="71"/>
      <c r="N49" s="72"/>
      <c r="O49" s="65"/>
      <c r="P49" s="73"/>
      <c r="Q49" s="57">
        <f t="shared" si="14"/>
        <v>113.08000000000001</v>
      </c>
      <c r="R49" s="58">
        <f t="shared" si="14"/>
        <v>0</v>
      </c>
      <c r="S49" s="59">
        <f t="shared" si="14"/>
        <v>64.399999999999991</v>
      </c>
      <c r="T49" s="60">
        <f t="shared" si="14"/>
        <v>0</v>
      </c>
      <c r="U49" s="63"/>
      <c r="V49" s="62">
        <f t="shared" si="9"/>
        <v>177</v>
      </c>
      <c r="W49" s="63"/>
      <c r="X49" s="31"/>
      <c r="Y49" s="31"/>
      <c r="Z49" s="31"/>
      <c r="AA49" s="32"/>
      <c r="AB49" s="74"/>
      <c r="AC49" s="63"/>
      <c r="AD49" s="64">
        <f t="shared" si="10"/>
        <v>7156</v>
      </c>
      <c r="AE49" s="65"/>
      <c r="AF49" s="64">
        <f t="shared" si="11"/>
        <v>14500</v>
      </c>
      <c r="AG49" s="65"/>
      <c r="AH49" s="64">
        <f t="shared" si="12"/>
        <v>1000</v>
      </c>
      <c r="AI49" s="65"/>
      <c r="AJ49" s="65"/>
      <c r="AK49" s="65"/>
      <c r="AL49" s="65"/>
      <c r="AM49" s="65"/>
      <c r="AN49" s="65"/>
      <c r="AO49" s="65"/>
      <c r="AP49" s="122"/>
      <c r="AQ49" s="45">
        <f t="shared" si="2"/>
        <v>0</v>
      </c>
      <c r="AR49" s="45">
        <f t="shared" si="3"/>
        <v>0</v>
      </c>
      <c r="AS49">
        <f t="shared" si="4"/>
        <v>0</v>
      </c>
      <c r="AT49">
        <f t="shared" si="5"/>
        <v>0</v>
      </c>
      <c r="AU49">
        <f t="shared" si="6"/>
        <v>0</v>
      </c>
      <c r="AV49">
        <f t="shared" si="7"/>
        <v>0</v>
      </c>
    </row>
    <row r="50" spans="1:48" x14ac:dyDescent="0.2">
      <c r="A50" s="30"/>
      <c r="B50" s="31"/>
      <c r="C50" s="65"/>
      <c r="D50" s="67"/>
      <c r="E50" s="46"/>
      <c r="F50" s="47"/>
      <c r="G50" s="48"/>
      <c r="H50" s="49">
        <f t="shared" si="8"/>
        <v>890</v>
      </c>
      <c r="I50" s="50" t="e">
        <f t="shared" si="0"/>
        <v>#DIV/0!</v>
      </c>
      <c r="J50" s="51">
        <f>(SUM(G14:G50))/((SUM(E14:E50)+((SUM(F14:F50)/60))))</f>
        <v>9.9100346020761254</v>
      </c>
      <c r="K50" s="63"/>
      <c r="L50" s="67"/>
      <c r="M50" s="71"/>
      <c r="N50" s="72"/>
      <c r="O50" s="65"/>
      <c r="P50" s="73"/>
      <c r="Q50" s="57">
        <f t="shared" ref="Q50:T64" si="15">Q49-M50</f>
        <v>113.08000000000001</v>
      </c>
      <c r="R50" s="58">
        <f t="shared" si="15"/>
        <v>0</v>
      </c>
      <c r="S50" s="59">
        <f t="shared" si="15"/>
        <v>64.399999999999991</v>
      </c>
      <c r="T50" s="60">
        <f t="shared" si="15"/>
        <v>0</v>
      </c>
      <c r="U50" s="63"/>
      <c r="V50" s="62">
        <f t="shared" si="9"/>
        <v>177</v>
      </c>
      <c r="W50" s="63"/>
      <c r="X50" s="31"/>
      <c r="Y50" s="31"/>
      <c r="Z50" s="31"/>
      <c r="AA50" s="32"/>
      <c r="AB50" s="74"/>
      <c r="AC50" s="63"/>
      <c r="AD50" s="64">
        <f t="shared" si="10"/>
        <v>7156</v>
      </c>
      <c r="AE50" s="65"/>
      <c r="AF50" s="64">
        <f t="shared" si="11"/>
        <v>14500</v>
      </c>
      <c r="AG50" s="65"/>
      <c r="AH50" s="64">
        <f t="shared" si="12"/>
        <v>1000</v>
      </c>
      <c r="AI50" s="65"/>
      <c r="AJ50" s="65"/>
      <c r="AK50" s="65"/>
      <c r="AL50" s="65"/>
      <c r="AM50" s="65"/>
      <c r="AN50" s="65"/>
      <c r="AO50" s="65"/>
      <c r="AP50" s="122"/>
      <c r="AQ50" s="45">
        <f t="shared" si="2"/>
        <v>0</v>
      </c>
      <c r="AR50" s="45">
        <f t="shared" si="3"/>
        <v>0</v>
      </c>
      <c r="AS50">
        <f t="shared" si="4"/>
        <v>0</v>
      </c>
      <c r="AT50">
        <f t="shared" si="5"/>
        <v>0</v>
      </c>
      <c r="AU50">
        <f t="shared" si="6"/>
        <v>0</v>
      </c>
      <c r="AV50">
        <f t="shared" si="7"/>
        <v>0</v>
      </c>
    </row>
    <row r="51" spans="1:48" x14ac:dyDescent="0.2">
      <c r="A51" s="30"/>
      <c r="B51" s="31"/>
      <c r="C51" s="65"/>
      <c r="D51" s="67"/>
      <c r="E51" s="68"/>
      <c r="F51" s="69"/>
      <c r="G51" s="70"/>
      <c r="H51" s="49">
        <f t="shared" si="8"/>
        <v>890</v>
      </c>
      <c r="I51" s="50" t="e">
        <f t="shared" si="0"/>
        <v>#DIV/0!</v>
      </c>
      <c r="J51" s="51">
        <f>(SUM(G14:G51))/((SUM(E14:E51)+((SUM(F14:F51)/60))))</f>
        <v>9.9100346020761254</v>
      </c>
      <c r="K51" s="63"/>
      <c r="L51" s="67"/>
      <c r="M51" s="71"/>
      <c r="N51" s="72"/>
      <c r="O51" s="65"/>
      <c r="P51" s="73"/>
      <c r="Q51" s="57">
        <f t="shared" si="15"/>
        <v>113.08000000000001</v>
      </c>
      <c r="R51" s="58">
        <f t="shared" si="15"/>
        <v>0</v>
      </c>
      <c r="S51" s="59">
        <f t="shared" si="15"/>
        <v>64.399999999999991</v>
      </c>
      <c r="T51" s="60">
        <f t="shared" si="15"/>
        <v>0</v>
      </c>
      <c r="U51" s="63"/>
      <c r="V51" s="62">
        <f t="shared" si="9"/>
        <v>177</v>
      </c>
      <c r="W51" s="63"/>
      <c r="X51" s="31"/>
      <c r="Y51" s="31"/>
      <c r="Z51" s="31"/>
      <c r="AA51" s="32"/>
      <c r="AB51" s="74"/>
      <c r="AC51" s="63"/>
      <c r="AD51" s="64">
        <f t="shared" si="10"/>
        <v>7156</v>
      </c>
      <c r="AE51" s="65"/>
      <c r="AF51" s="64">
        <f t="shared" si="11"/>
        <v>14500</v>
      </c>
      <c r="AG51" s="65"/>
      <c r="AH51" s="64">
        <f t="shared" si="12"/>
        <v>1000</v>
      </c>
      <c r="AI51" s="65"/>
      <c r="AJ51" s="65"/>
      <c r="AK51" s="65"/>
      <c r="AL51" s="65"/>
      <c r="AM51" s="65"/>
      <c r="AN51" s="65"/>
      <c r="AO51" s="65"/>
      <c r="AP51" s="122"/>
      <c r="AQ51" s="45">
        <f t="shared" si="2"/>
        <v>0</v>
      </c>
      <c r="AR51" s="45">
        <f t="shared" si="3"/>
        <v>0</v>
      </c>
      <c r="AS51">
        <f t="shared" si="4"/>
        <v>0</v>
      </c>
      <c r="AT51">
        <f t="shared" si="5"/>
        <v>0</v>
      </c>
      <c r="AU51">
        <f t="shared" si="6"/>
        <v>0</v>
      </c>
      <c r="AV51">
        <f t="shared" si="7"/>
        <v>0</v>
      </c>
    </row>
    <row r="52" spans="1:48" x14ac:dyDescent="0.2">
      <c r="A52" s="30"/>
      <c r="B52" s="31"/>
      <c r="C52" s="65"/>
      <c r="D52" s="67"/>
      <c r="E52" s="68"/>
      <c r="F52" s="69"/>
      <c r="G52" s="70"/>
      <c r="H52" s="49">
        <f t="shared" si="8"/>
        <v>890</v>
      </c>
      <c r="I52" s="50" t="e">
        <f t="shared" si="0"/>
        <v>#DIV/0!</v>
      </c>
      <c r="J52" s="51">
        <f>(SUM(G14:G52))/((SUM(E14:E52)+((SUM(F14:F52)/60))))</f>
        <v>9.9100346020761254</v>
      </c>
      <c r="K52" s="63"/>
      <c r="L52" s="67"/>
      <c r="M52" s="71"/>
      <c r="N52" s="72"/>
      <c r="O52" s="65"/>
      <c r="P52" s="73"/>
      <c r="Q52" s="57">
        <f t="shared" si="15"/>
        <v>113.08000000000001</v>
      </c>
      <c r="R52" s="58">
        <f t="shared" si="15"/>
        <v>0</v>
      </c>
      <c r="S52" s="59">
        <f t="shared" si="15"/>
        <v>64.399999999999991</v>
      </c>
      <c r="T52" s="60">
        <f t="shared" si="15"/>
        <v>0</v>
      </c>
      <c r="U52" s="63"/>
      <c r="V52" s="62">
        <f t="shared" si="9"/>
        <v>177</v>
      </c>
      <c r="W52" s="63"/>
      <c r="X52" s="31"/>
      <c r="Y52" s="31"/>
      <c r="Z52" s="31"/>
      <c r="AA52" s="32"/>
      <c r="AB52" s="74"/>
      <c r="AC52" s="63"/>
      <c r="AD52" s="64">
        <f t="shared" si="10"/>
        <v>7156</v>
      </c>
      <c r="AE52" s="65"/>
      <c r="AF52" s="64">
        <f t="shared" si="11"/>
        <v>14500</v>
      </c>
      <c r="AG52" s="65"/>
      <c r="AH52" s="64">
        <f t="shared" si="12"/>
        <v>1000</v>
      </c>
      <c r="AI52" s="65"/>
      <c r="AJ52" s="65"/>
      <c r="AK52" s="65"/>
      <c r="AL52" s="65"/>
      <c r="AM52" s="65"/>
      <c r="AN52" s="65"/>
      <c r="AO52" s="65"/>
      <c r="AP52" s="122"/>
      <c r="AQ52" s="45">
        <f t="shared" si="2"/>
        <v>0</v>
      </c>
      <c r="AR52" s="45">
        <f t="shared" si="3"/>
        <v>0</v>
      </c>
      <c r="AS52">
        <f t="shared" si="4"/>
        <v>0</v>
      </c>
      <c r="AT52">
        <f t="shared" si="5"/>
        <v>0</v>
      </c>
      <c r="AU52">
        <f t="shared" si="6"/>
        <v>0</v>
      </c>
      <c r="AV52">
        <f t="shared" si="7"/>
        <v>0</v>
      </c>
    </row>
    <row r="53" spans="1:48" x14ac:dyDescent="0.2">
      <c r="A53" s="30"/>
      <c r="B53" s="31"/>
      <c r="C53" s="65"/>
      <c r="D53" s="67"/>
      <c r="E53" s="68"/>
      <c r="F53" s="69"/>
      <c r="G53" s="70"/>
      <c r="H53" s="49">
        <f t="shared" si="8"/>
        <v>890</v>
      </c>
      <c r="I53" s="50" t="e">
        <f t="shared" si="0"/>
        <v>#DIV/0!</v>
      </c>
      <c r="J53" s="51">
        <f>(SUM(G14:G53))/((SUM(E14:E53)+((SUM(F14:F53)/60))))</f>
        <v>9.9100346020761254</v>
      </c>
      <c r="K53" s="63"/>
      <c r="L53" s="67"/>
      <c r="M53" s="71"/>
      <c r="N53" s="72"/>
      <c r="O53" s="65"/>
      <c r="P53" s="73"/>
      <c r="Q53" s="57">
        <f t="shared" si="15"/>
        <v>113.08000000000001</v>
      </c>
      <c r="R53" s="58">
        <f t="shared" si="15"/>
        <v>0</v>
      </c>
      <c r="S53" s="59">
        <f t="shared" si="15"/>
        <v>64.399999999999991</v>
      </c>
      <c r="T53" s="60">
        <f t="shared" si="15"/>
        <v>0</v>
      </c>
      <c r="U53" s="63"/>
      <c r="V53" s="62">
        <f t="shared" si="9"/>
        <v>177</v>
      </c>
      <c r="W53" s="63"/>
      <c r="X53" s="31"/>
      <c r="Y53" s="31"/>
      <c r="Z53" s="31"/>
      <c r="AA53" s="32"/>
      <c r="AB53" s="74"/>
      <c r="AC53" s="63"/>
      <c r="AD53" s="64">
        <f t="shared" si="10"/>
        <v>7156</v>
      </c>
      <c r="AE53" s="65"/>
      <c r="AF53" s="64">
        <f t="shared" si="11"/>
        <v>14500</v>
      </c>
      <c r="AG53" s="65"/>
      <c r="AH53" s="64">
        <f t="shared" si="12"/>
        <v>1000</v>
      </c>
      <c r="AI53" s="65"/>
      <c r="AJ53" s="65"/>
      <c r="AK53" s="65"/>
      <c r="AL53" s="65"/>
      <c r="AM53" s="65"/>
      <c r="AN53" s="65"/>
      <c r="AO53" s="65"/>
      <c r="AP53" s="122"/>
      <c r="AQ53" s="45">
        <f t="shared" si="2"/>
        <v>0</v>
      </c>
      <c r="AR53" s="45">
        <f t="shared" si="3"/>
        <v>0</v>
      </c>
      <c r="AS53">
        <f t="shared" si="4"/>
        <v>0</v>
      </c>
      <c r="AT53">
        <f t="shared" si="5"/>
        <v>0</v>
      </c>
      <c r="AU53">
        <f t="shared" si="6"/>
        <v>0</v>
      </c>
      <c r="AV53">
        <f t="shared" si="7"/>
        <v>0</v>
      </c>
    </row>
    <row r="54" spans="1:48" x14ac:dyDescent="0.2">
      <c r="A54" s="30"/>
      <c r="B54" s="31"/>
      <c r="C54" s="65"/>
      <c r="D54" s="67"/>
      <c r="E54" s="68"/>
      <c r="F54" s="69"/>
      <c r="G54" s="70"/>
      <c r="H54" s="49">
        <f t="shared" si="8"/>
        <v>890</v>
      </c>
      <c r="I54" s="50" t="e">
        <f t="shared" si="0"/>
        <v>#DIV/0!</v>
      </c>
      <c r="J54" s="51">
        <f>(SUM(G14:G54))/((SUM(E14:E54)+((SUM(F14:F54)/60))))</f>
        <v>9.9100346020761254</v>
      </c>
      <c r="K54" s="63"/>
      <c r="L54" s="67"/>
      <c r="M54" s="71"/>
      <c r="N54" s="72"/>
      <c r="O54" s="65"/>
      <c r="P54" s="73"/>
      <c r="Q54" s="57">
        <f t="shared" si="15"/>
        <v>113.08000000000001</v>
      </c>
      <c r="R54" s="58">
        <f t="shared" si="15"/>
        <v>0</v>
      </c>
      <c r="S54" s="59">
        <f t="shared" si="15"/>
        <v>64.399999999999991</v>
      </c>
      <c r="T54" s="60">
        <f t="shared" si="15"/>
        <v>0</v>
      </c>
      <c r="U54" s="63"/>
      <c r="V54" s="62">
        <f t="shared" si="9"/>
        <v>177</v>
      </c>
      <c r="W54" s="63"/>
      <c r="X54" s="31"/>
      <c r="Y54" s="31"/>
      <c r="Z54" s="31"/>
      <c r="AA54" s="32"/>
      <c r="AB54" s="74"/>
      <c r="AC54" s="63"/>
      <c r="AD54" s="64">
        <f t="shared" si="10"/>
        <v>7156</v>
      </c>
      <c r="AE54" s="65"/>
      <c r="AF54" s="64">
        <f t="shared" si="11"/>
        <v>14500</v>
      </c>
      <c r="AG54" s="65"/>
      <c r="AH54" s="64">
        <f t="shared" si="12"/>
        <v>1000</v>
      </c>
      <c r="AI54" s="65"/>
      <c r="AJ54" s="65"/>
      <c r="AK54" s="65"/>
      <c r="AL54" s="65"/>
      <c r="AM54" s="65"/>
      <c r="AN54" s="65"/>
      <c r="AO54" s="65"/>
      <c r="AP54" s="122"/>
      <c r="AQ54" s="45">
        <f t="shared" si="2"/>
        <v>0</v>
      </c>
      <c r="AR54" s="45">
        <f t="shared" si="3"/>
        <v>0</v>
      </c>
      <c r="AS54">
        <f t="shared" si="4"/>
        <v>0</v>
      </c>
      <c r="AT54">
        <f t="shared" si="5"/>
        <v>0</v>
      </c>
      <c r="AU54">
        <f t="shared" si="6"/>
        <v>0</v>
      </c>
      <c r="AV54">
        <f t="shared" si="7"/>
        <v>0</v>
      </c>
    </row>
    <row r="55" spans="1:48" x14ac:dyDescent="0.2">
      <c r="A55" s="30"/>
      <c r="B55" s="31"/>
      <c r="C55" s="65"/>
      <c r="D55" s="67"/>
      <c r="E55" s="68"/>
      <c r="F55" s="69"/>
      <c r="G55" s="70"/>
      <c r="H55" s="49">
        <f t="shared" si="8"/>
        <v>890</v>
      </c>
      <c r="I55" s="50" t="e">
        <f t="shared" si="0"/>
        <v>#DIV/0!</v>
      </c>
      <c r="J55" s="51">
        <f>(SUM(G14:G55))/((SUM(E14:E55)+((SUM(F14:F55)/60))))</f>
        <v>9.9100346020761254</v>
      </c>
      <c r="K55" s="63"/>
      <c r="L55" s="67"/>
      <c r="M55" s="71"/>
      <c r="N55" s="72"/>
      <c r="O55" s="65"/>
      <c r="P55" s="73"/>
      <c r="Q55" s="57">
        <f t="shared" si="15"/>
        <v>113.08000000000001</v>
      </c>
      <c r="R55" s="58">
        <f t="shared" si="15"/>
        <v>0</v>
      </c>
      <c r="S55" s="59">
        <f t="shared" si="15"/>
        <v>64.399999999999991</v>
      </c>
      <c r="T55" s="60">
        <f t="shared" si="15"/>
        <v>0</v>
      </c>
      <c r="U55" s="63"/>
      <c r="V55" s="62">
        <f t="shared" si="9"/>
        <v>177</v>
      </c>
      <c r="W55" s="63"/>
      <c r="X55" s="31"/>
      <c r="Y55" s="31"/>
      <c r="Z55" s="31"/>
      <c r="AA55" s="32"/>
      <c r="AB55" s="74"/>
      <c r="AC55" s="63"/>
      <c r="AD55" s="64">
        <f t="shared" si="10"/>
        <v>7156</v>
      </c>
      <c r="AE55" s="65"/>
      <c r="AF55" s="64">
        <f t="shared" si="11"/>
        <v>14500</v>
      </c>
      <c r="AG55" s="65"/>
      <c r="AH55" s="64">
        <f t="shared" si="12"/>
        <v>1000</v>
      </c>
      <c r="AI55" s="65"/>
      <c r="AJ55" s="65"/>
      <c r="AK55" s="65"/>
      <c r="AL55" s="65"/>
      <c r="AM55" s="65"/>
      <c r="AN55" s="65"/>
      <c r="AO55" s="65"/>
      <c r="AP55" s="122"/>
      <c r="AQ55" s="45">
        <f t="shared" si="2"/>
        <v>0</v>
      </c>
      <c r="AR55" s="45">
        <f t="shared" si="3"/>
        <v>0</v>
      </c>
      <c r="AS55">
        <f t="shared" si="4"/>
        <v>0</v>
      </c>
      <c r="AT55">
        <f t="shared" si="5"/>
        <v>0</v>
      </c>
      <c r="AU55">
        <f t="shared" si="6"/>
        <v>0</v>
      </c>
      <c r="AV55">
        <f t="shared" si="7"/>
        <v>0</v>
      </c>
    </row>
    <row r="56" spans="1:48" x14ac:dyDescent="0.2">
      <c r="A56" s="30"/>
      <c r="B56" s="31"/>
      <c r="C56" s="65"/>
      <c r="D56" s="67"/>
      <c r="E56" s="68"/>
      <c r="F56" s="69"/>
      <c r="G56" s="70"/>
      <c r="H56" s="49">
        <f t="shared" si="8"/>
        <v>890</v>
      </c>
      <c r="I56" s="50" t="e">
        <f t="shared" si="0"/>
        <v>#DIV/0!</v>
      </c>
      <c r="J56" s="51">
        <f>(SUM(G14:G56))/((SUM(E14:E56)+((SUM(F14:F56)/60))))</f>
        <v>9.9100346020761254</v>
      </c>
      <c r="K56" s="63"/>
      <c r="L56" s="67"/>
      <c r="M56" s="71"/>
      <c r="N56" s="72"/>
      <c r="O56" s="65"/>
      <c r="P56" s="73"/>
      <c r="Q56" s="57">
        <f t="shared" si="15"/>
        <v>113.08000000000001</v>
      </c>
      <c r="R56" s="58">
        <f t="shared" si="15"/>
        <v>0</v>
      </c>
      <c r="S56" s="59">
        <f t="shared" si="15"/>
        <v>64.399999999999991</v>
      </c>
      <c r="T56" s="60">
        <f t="shared" si="15"/>
        <v>0</v>
      </c>
      <c r="U56" s="63"/>
      <c r="V56" s="62">
        <f t="shared" si="9"/>
        <v>177</v>
      </c>
      <c r="W56" s="63"/>
      <c r="X56" s="31"/>
      <c r="Y56" s="31"/>
      <c r="Z56" s="31"/>
      <c r="AA56" s="32"/>
      <c r="AB56" s="74"/>
      <c r="AC56" s="63"/>
      <c r="AD56" s="64">
        <f t="shared" si="10"/>
        <v>7156</v>
      </c>
      <c r="AE56" s="65"/>
      <c r="AF56" s="64">
        <f t="shared" si="11"/>
        <v>14500</v>
      </c>
      <c r="AG56" s="65"/>
      <c r="AH56" s="64">
        <f t="shared" si="12"/>
        <v>1000</v>
      </c>
      <c r="AI56" s="65"/>
      <c r="AJ56" s="65"/>
      <c r="AK56" s="65"/>
      <c r="AL56" s="65"/>
      <c r="AM56" s="65"/>
      <c r="AN56" s="65"/>
      <c r="AO56" s="65"/>
      <c r="AP56" s="122"/>
      <c r="AQ56" s="45">
        <f t="shared" si="2"/>
        <v>0</v>
      </c>
      <c r="AR56" s="45">
        <f t="shared" si="3"/>
        <v>0</v>
      </c>
      <c r="AS56">
        <f t="shared" si="4"/>
        <v>0</v>
      </c>
      <c r="AT56">
        <f t="shared" si="5"/>
        <v>0</v>
      </c>
      <c r="AU56">
        <f t="shared" si="6"/>
        <v>0</v>
      </c>
      <c r="AV56">
        <f t="shared" si="7"/>
        <v>0</v>
      </c>
    </row>
    <row r="57" spans="1:48" x14ac:dyDescent="0.2">
      <c r="A57" s="30"/>
      <c r="B57" s="31"/>
      <c r="C57" s="65"/>
      <c r="D57" s="67"/>
      <c r="E57" s="68"/>
      <c r="F57" s="69"/>
      <c r="G57" s="70"/>
      <c r="H57" s="49">
        <f t="shared" si="8"/>
        <v>890</v>
      </c>
      <c r="I57" s="50" t="e">
        <f t="shared" si="0"/>
        <v>#DIV/0!</v>
      </c>
      <c r="J57" s="51">
        <f>(SUM(G14:G57))/((SUM(E14:E57)+((SUM(F14:F57)/60))))</f>
        <v>9.9100346020761254</v>
      </c>
      <c r="K57" s="63"/>
      <c r="L57" s="67"/>
      <c r="M57" s="71"/>
      <c r="N57" s="72"/>
      <c r="O57" s="65"/>
      <c r="P57" s="73"/>
      <c r="Q57" s="57">
        <f t="shared" si="15"/>
        <v>113.08000000000001</v>
      </c>
      <c r="R57" s="58">
        <f t="shared" si="15"/>
        <v>0</v>
      </c>
      <c r="S57" s="59">
        <f t="shared" si="15"/>
        <v>64.399999999999991</v>
      </c>
      <c r="T57" s="60">
        <f t="shared" si="15"/>
        <v>0</v>
      </c>
      <c r="U57" s="63"/>
      <c r="V57" s="62">
        <f t="shared" si="9"/>
        <v>177</v>
      </c>
      <c r="W57" s="63"/>
      <c r="X57" s="31"/>
      <c r="Y57" s="31"/>
      <c r="Z57" s="31"/>
      <c r="AA57" s="32"/>
      <c r="AB57" s="74"/>
      <c r="AC57" s="63"/>
      <c r="AD57" s="64">
        <f t="shared" si="10"/>
        <v>7156</v>
      </c>
      <c r="AE57" s="65"/>
      <c r="AF57" s="64">
        <f t="shared" si="11"/>
        <v>14500</v>
      </c>
      <c r="AG57" s="65"/>
      <c r="AH57" s="64">
        <f t="shared" si="12"/>
        <v>1000</v>
      </c>
      <c r="AI57" s="65"/>
      <c r="AJ57" s="65"/>
      <c r="AK57" s="65"/>
      <c r="AL57" s="65"/>
      <c r="AM57" s="65"/>
      <c r="AN57" s="65"/>
      <c r="AO57" s="65"/>
      <c r="AP57" s="122"/>
      <c r="AQ57" s="45">
        <f t="shared" si="2"/>
        <v>0</v>
      </c>
      <c r="AR57" s="45">
        <f t="shared" si="3"/>
        <v>0</v>
      </c>
      <c r="AS57">
        <f t="shared" si="4"/>
        <v>0</v>
      </c>
      <c r="AT57">
        <f t="shared" si="5"/>
        <v>0</v>
      </c>
      <c r="AU57">
        <f t="shared" si="6"/>
        <v>0</v>
      </c>
      <c r="AV57">
        <f t="shared" si="7"/>
        <v>0</v>
      </c>
    </row>
    <row r="58" spans="1:48" x14ac:dyDescent="0.2">
      <c r="A58" s="30"/>
      <c r="B58" s="31"/>
      <c r="C58" s="65"/>
      <c r="D58" s="67"/>
      <c r="E58" s="68"/>
      <c r="F58" s="69"/>
      <c r="G58" s="70"/>
      <c r="H58" s="49">
        <f t="shared" si="8"/>
        <v>890</v>
      </c>
      <c r="I58" s="50" t="e">
        <f t="shared" si="0"/>
        <v>#DIV/0!</v>
      </c>
      <c r="J58" s="51">
        <f>(SUM(G14:G58))/((SUM(E14:E58)+((SUM(F14:F58)/60))))</f>
        <v>9.9100346020761254</v>
      </c>
      <c r="K58" s="63"/>
      <c r="L58" s="67"/>
      <c r="M58" s="71"/>
      <c r="N58" s="72"/>
      <c r="O58" s="65"/>
      <c r="P58" s="73"/>
      <c r="Q58" s="57">
        <f t="shared" si="15"/>
        <v>113.08000000000001</v>
      </c>
      <c r="R58" s="58">
        <f t="shared" si="15"/>
        <v>0</v>
      </c>
      <c r="S58" s="59">
        <f t="shared" si="15"/>
        <v>64.399999999999991</v>
      </c>
      <c r="T58" s="60">
        <f t="shared" si="15"/>
        <v>0</v>
      </c>
      <c r="U58" s="63"/>
      <c r="V58" s="62">
        <f t="shared" si="9"/>
        <v>177</v>
      </c>
      <c r="W58" s="63"/>
      <c r="X58" s="31"/>
      <c r="Y58" s="31"/>
      <c r="Z58" s="31"/>
      <c r="AA58" s="32"/>
      <c r="AB58" s="74"/>
      <c r="AC58" s="63"/>
      <c r="AD58" s="64">
        <f t="shared" si="10"/>
        <v>7156</v>
      </c>
      <c r="AE58" s="65"/>
      <c r="AF58" s="64">
        <f t="shared" si="11"/>
        <v>14500</v>
      </c>
      <c r="AG58" s="65"/>
      <c r="AH58" s="64">
        <f t="shared" si="12"/>
        <v>1000</v>
      </c>
      <c r="AI58" s="65"/>
      <c r="AJ58" s="65"/>
      <c r="AK58" s="65"/>
      <c r="AL58" s="65"/>
      <c r="AM58" s="65"/>
      <c r="AN58" s="65"/>
      <c r="AO58" s="65"/>
      <c r="AP58" s="122"/>
      <c r="AQ58" s="45">
        <f t="shared" si="2"/>
        <v>0</v>
      </c>
      <c r="AR58" s="45">
        <f t="shared" si="3"/>
        <v>0</v>
      </c>
      <c r="AS58">
        <f t="shared" si="4"/>
        <v>0</v>
      </c>
      <c r="AT58">
        <f t="shared" si="5"/>
        <v>0</v>
      </c>
      <c r="AU58">
        <f t="shared" si="6"/>
        <v>0</v>
      </c>
      <c r="AV58">
        <f t="shared" si="7"/>
        <v>0</v>
      </c>
    </row>
    <row r="59" spans="1:48" x14ac:dyDescent="0.2">
      <c r="A59" s="30"/>
      <c r="B59" s="31"/>
      <c r="C59" s="65"/>
      <c r="D59" s="67"/>
      <c r="E59" s="68"/>
      <c r="F59" s="69"/>
      <c r="G59" s="70"/>
      <c r="H59" s="49">
        <f t="shared" si="8"/>
        <v>890</v>
      </c>
      <c r="I59" s="50" t="e">
        <f t="shared" si="0"/>
        <v>#DIV/0!</v>
      </c>
      <c r="J59" s="51">
        <f>(SUM(G14:G59))/((SUM(E14:E59)+((SUM(F14:F59)/60))))</f>
        <v>9.9100346020761254</v>
      </c>
      <c r="K59" s="63"/>
      <c r="L59" s="67"/>
      <c r="M59" s="71"/>
      <c r="N59" s="72"/>
      <c r="O59" s="65"/>
      <c r="P59" s="73"/>
      <c r="Q59" s="57">
        <f t="shared" si="15"/>
        <v>113.08000000000001</v>
      </c>
      <c r="R59" s="58">
        <f t="shared" si="15"/>
        <v>0</v>
      </c>
      <c r="S59" s="59">
        <f t="shared" si="15"/>
        <v>64.399999999999991</v>
      </c>
      <c r="T59" s="60">
        <f t="shared" si="15"/>
        <v>0</v>
      </c>
      <c r="U59" s="63"/>
      <c r="V59" s="62">
        <f t="shared" si="9"/>
        <v>177</v>
      </c>
      <c r="W59" s="63"/>
      <c r="X59" s="31"/>
      <c r="Y59" s="31"/>
      <c r="Z59" s="31"/>
      <c r="AA59" s="32"/>
      <c r="AB59" s="74"/>
      <c r="AC59" s="63"/>
      <c r="AD59" s="64">
        <f t="shared" si="10"/>
        <v>7156</v>
      </c>
      <c r="AE59" s="65"/>
      <c r="AF59" s="64">
        <f t="shared" si="11"/>
        <v>14500</v>
      </c>
      <c r="AG59" s="65"/>
      <c r="AH59" s="64">
        <f t="shared" si="12"/>
        <v>1000</v>
      </c>
      <c r="AI59" s="65"/>
      <c r="AJ59" s="65"/>
      <c r="AK59" s="65"/>
      <c r="AL59" s="65"/>
      <c r="AM59" s="65"/>
      <c r="AN59" s="65"/>
      <c r="AO59" s="65"/>
      <c r="AP59" s="122"/>
      <c r="AQ59" s="45">
        <f t="shared" si="2"/>
        <v>0</v>
      </c>
      <c r="AR59" s="45">
        <f t="shared" si="3"/>
        <v>0</v>
      </c>
      <c r="AS59">
        <f t="shared" si="4"/>
        <v>0</v>
      </c>
      <c r="AT59">
        <f t="shared" si="5"/>
        <v>0</v>
      </c>
      <c r="AU59">
        <f t="shared" si="6"/>
        <v>0</v>
      </c>
      <c r="AV59">
        <f t="shared" si="7"/>
        <v>0</v>
      </c>
    </row>
    <row r="60" spans="1:48" x14ac:dyDescent="0.2">
      <c r="A60" s="30"/>
      <c r="B60" s="31"/>
      <c r="C60" s="65"/>
      <c r="D60" s="67"/>
      <c r="E60" s="68"/>
      <c r="F60" s="69"/>
      <c r="G60" s="70"/>
      <c r="H60" s="49">
        <f t="shared" si="8"/>
        <v>890</v>
      </c>
      <c r="I60" s="50" t="e">
        <f t="shared" si="0"/>
        <v>#DIV/0!</v>
      </c>
      <c r="J60" s="51">
        <f>(SUM(G14:G60))/((SUM(E14:E60)+((SUM(F14:F60)/60))))</f>
        <v>9.9100346020761254</v>
      </c>
      <c r="K60" s="63"/>
      <c r="L60" s="67"/>
      <c r="M60" s="71"/>
      <c r="N60" s="72"/>
      <c r="O60" s="65"/>
      <c r="P60" s="73"/>
      <c r="Q60" s="57">
        <f t="shared" si="15"/>
        <v>113.08000000000001</v>
      </c>
      <c r="R60" s="58">
        <f t="shared" si="15"/>
        <v>0</v>
      </c>
      <c r="S60" s="59">
        <f t="shared" si="15"/>
        <v>64.399999999999991</v>
      </c>
      <c r="T60" s="60">
        <f t="shared" si="15"/>
        <v>0</v>
      </c>
      <c r="U60" s="63"/>
      <c r="V60" s="62">
        <f t="shared" si="9"/>
        <v>177</v>
      </c>
      <c r="W60" s="63"/>
      <c r="X60" s="31"/>
      <c r="Y60" s="31"/>
      <c r="Z60" s="31"/>
      <c r="AA60" s="32"/>
      <c r="AB60" s="74"/>
      <c r="AC60" s="63"/>
      <c r="AD60" s="64">
        <f t="shared" si="10"/>
        <v>7156</v>
      </c>
      <c r="AE60" s="65"/>
      <c r="AF60" s="64">
        <f t="shared" si="11"/>
        <v>14500</v>
      </c>
      <c r="AG60" s="65"/>
      <c r="AH60" s="64">
        <f t="shared" si="12"/>
        <v>1000</v>
      </c>
      <c r="AI60" s="65"/>
      <c r="AJ60" s="65"/>
      <c r="AK60" s="65"/>
      <c r="AL60" s="65"/>
      <c r="AM60" s="65"/>
      <c r="AN60" s="65"/>
      <c r="AO60" s="65"/>
      <c r="AP60" s="122"/>
      <c r="AQ60" s="45">
        <f t="shared" si="2"/>
        <v>0</v>
      </c>
      <c r="AR60" s="45">
        <f t="shared" si="3"/>
        <v>0</v>
      </c>
      <c r="AS60">
        <f t="shared" si="4"/>
        <v>0</v>
      </c>
      <c r="AT60">
        <f t="shared" si="5"/>
        <v>0</v>
      </c>
      <c r="AU60">
        <f t="shared" si="6"/>
        <v>0</v>
      </c>
      <c r="AV60">
        <f t="shared" si="7"/>
        <v>0</v>
      </c>
    </row>
    <row r="61" spans="1:48" x14ac:dyDescent="0.2">
      <c r="A61" s="30"/>
      <c r="B61" s="31"/>
      <c r="C61" s="65"/>
      <c r="D61" s="67"/>
      <c r="E61" s="68"/>
      <c r="F61" s="69"/>
      <c r="G61" s="70"/>
      <c r="H61" s="49">
        <f t="shared" si="8"/>
        <v>890</v>
      </c>
      <c r="I61" s="50" t="e">
        <f t="shared" si="0"/>
        <v>#DIV/0!</v>
      </c>
      <c r="J61" s="51">
        <f>(SUM(G14:G61))/((SUM(E14:E61)+((SUM(F14:F61)/60))))</f>
        <v>9.9100346020761254</v>
      </c>
      <c r="K61" s="63"/>
      <c r="L61" s="67"/>
      <c r="M61" s="71"/>
      <c r="N61" s="72"/>
      <c r="O61" s="65"/>
      <c r="P61" s="73"/>
      <c r="Q61" s="57">
        <f t="shared" si="15"/>
        <v>113.08000000000001</v>
      </c>
      <c r="R61" s="58">
        <f t="shared" si="15"/>
        <v>0</v>
      </c>
      <c r="S61" s="59">
        <f t="shared" si="15"/>
        <v>64.399999999999991</v>
      </c>
      <c r="T61" s="60">
        <f t="shared" si="15"/>
        <v>0</v>
      </c>
      <c r="U61" s="63"/>
      <c r="V61" s="62">
        <f t="shared" si="9"/>
        <v>177</v>
      </c>
      <c r="W61" s="63"/>
      <c r="X61" s="31"/>
      <c r="Y61" s="31"/>
      <c r="Z61" s="31"/>
      <c r="AA61" s="32"/>
      <c r="AB61" s="74"/>
      <c r="AC61" s="63"/>
      <c r="AD61" s="64">
        <f t="shared" si="10"/>
        <v>7156</v>
      </c>
      <c r="AE61" s="65"/>
      <c r="AF61" s="64">
        <f t="shared" si="11"/>
        <v>14500</v>
      </c>
      <c r="AG61" s="65"/>
      <c r="AH61" s="64">
        <f t="shared" si="12"/>
        <v>1000</v>
      </c>
      <c r="AI61" s="65"/>
      <c r="AJ61" s="65"/>
      <c r="AK61" s="65"/>
      <c r="AL61" s="65"/>
      <c r="AM61" s="65"/>
      <c r="AN61" s="65"/>
      <c r="AO61" s="65"/>
      <c r="AP61" s="122"/>
      <c r="AQ61" s="45">
        <f t="shared" si="2"/>
        <v>0</v>
      </c>
      <c r="AR61" s="45">
        <f t="shared" si="3"/>
        <v>0</v>
      </c>
      <c r="AS61">
        <f t="shared" si="4"/>
        <v>0</v>
      </c>
      <c r="AT61">
        <f t="shared" si="5"/>
        <v>0</v>
      </c>
      <c r="AU61">
        <f t="shared" si="6"/>
        <v>0</v>
      </c>
      <c r="AV61">
        <f t="shared" si="7"/>
        <v>0</v>
      </c>
    </row>
    <row r="62" spans="1:48" x14ac:dyDescent="0.2">
      <c r="A62" s="30"/>
      <c r="B62" s="31"/>
      <c r="C62" s="65"/>
      <c r="D62" s="67"/>
      <c r="E62" s="68"/>
      <c r="F62" s="69"/>
      <c r="G62" s="70"/>
      <c r="H62" s="49">
        <f t="shared" si="8"/>
        <v>890</v>
      </c>
      <c r="I62" s="50" t="e">
        <f t="shared" si="0"/>
        <v>#DIV/0!</v>
      </c>
      <c r="J62" s="51">
        <f>(SUM(G14:G62))/((SUM(E14:E62)+((SUM(F14:F62)/60))))</f>
        <v>9.9100346020761254</v>
      </c>
      <c r="K62" s="63"/>
      <c r="L62" s="67"/>
      <c r="M62" s="71"/>
      <c r="N62" s="72"/>
      <c r="O62" s="65"/>
      <c r="P62" s="73"/>
      <c r="Q62" s="57">
        <f t="shared" si="15"/>
        <v>113.08000000000001</v>
      </c>
      <c r="R62" s="58">
        <f t="shared" si="15"/>
        <v>0</v>
      </c>
      <c r="S62" s="59">
        <f t="shared" si="15"/>
        <v>64.399999999999991</v>
      </c>
      <c r="T62" s="60">
        <f t="shared" si="15"/>
        <v>0</v>
      </c>
      <c r="U62" s="63"/>
      <c r="V62" s="62">
        <f t="shared" si="9"/>
        <v>177</v>
      </c>
      <c r="W62" s="63"/>
      <c r="X62" s="31"/>
      <c r="Y62" s="31"/>
      <c r="Z62" s="31"/>
      <c r="AA62" s="32"/>
      <c r="AB62" s="74"/>
      <c r="AC62" s="63"/>
      <c r="AD62" s="64">
        <f t="shared" si="10"/>
        <v>7156</v>
      </c>
      <c r="AE62" s="65"/>
      <c r="AF62" s="64">
        <f t="shared" si="11"/>
        <v>14500</v>
      </c>
      <c r="AG62" s="65"/>
      <c r="AH62" s="64">
        <f t="shared" si="12"/>
        <v>1000</v>
      </c>
      <c r="AI62" s="65"/>
      <c r="AJ62" s="65"/>
      <c r="AK62" s="65"/>
      <c r="AL62" s="65"/>
      <c r="AM62" s="65"/>
      <c r="AN62" s="65"/>
      <c r="AO62" s="65"/>
      <c r="AP62" s="122"/>
      <c r="AQ62" s="45">
        <f t="shared" si="2"/>
        <v>0</v>
      </c>
      <c r="AR62" s="45">
        <f t="shared" si="3"/>
        <v>0</v>
      </c>
      <c r="AS62">
        <f t="shared" si="4"/>
        <v>0</v>
      </c>
      <c r="AT62">
        <f t="shared" si="5"/>
        <v>0</v>
      </c>
      <c r="AU62">
        <f t="shared" si="6"/>
        <v>0</v>
      </c>
      <c r="AV62">
        <f t="shared" si="7"/>
        <v>0</v>
      </c>
    </row>
    <row r="63" spans="1:48" x14ac:dyDescent="0.2">
      <c r="A63" s="30"/>
      <c r="B63" s="31"/>
      <c r="C63" s="65"/>
      <c r="D63" s="67"/>
      <c r="E63" s="68"/>
      <c r="F63" s="69"/>
      <c r="G63" s="70"/>
      <c r="H63" s="49">
        <f t="shared" si="8"/>
        <v>890</v>
      </c>
      <c r="I63" s="50" t="e">
        <f t="shared" si="0"/>
        <v>#DIV/0!</v>
      </c>
      <c r="J63" s="51">
        <f>(SUM(G14:G63))/((SUM(E14:E63)+((SUM(F14:F63)/60))))</f>
        <v>9.9100346020761254</v>
      </c>
      <c r="K63" s="63"/>
      <c r="L63" s="67"/>
      <c r="M63" s="71"/>
      <c r="N63" s="72"/>
      <c r="O63" s="65"/>
      <c r="P63" s="73"/>
      <c r="Q63" s="57">
        <f t="shared" si="15"/>
        <v>113.08000000000001</v>
      </c>
      <c r="R63" s="58">
        <f t="shared" si="15"/>
        <v>0</v>
      </c>
      <c r="S63" s="59">
        <f t="shared" si="15"/>
        <v>64.399999999999991</v>
      </c>
      <c r="T63" s="60">
        <f t="shared" si="15"/>
        <v>0</v>
      </c>
      <c r="U63" s="63"/>
      <c r="V63" s="62">
        <f t="shared" si="9"/>
        <v>177</v>
      </c>
      <c r="W63" s="63"/>
      <c r="X63" s="31"/>
      <c r="Y63" s="31"/>
      <c r="Z63" s="31"/>
      <c r="AA63" s="32"/>
      <c r="AB63" s="74"/>
      <c r="AC63" s="63"/>
      <c r="AD63" s="64">
        <f t="shared" si="10"/>
        <v>7156</v>
      </c>
      <c r="AE63" s="65"/>
      <c r="AF63" s="64">
        <f t="shared" si="11"/>
        <v>14500</v>
      </c>
      <c r="AG63" s="65"/>
      <c r="AH63" s="64">
        <f t="shared" si="12"/>
        <v>1000</v>
      </c>
      <c r="AI63" s="65"/>
      <c r="AJ63" s="65"/>
      <c r="AK63" s="65"/>
      <c r="AL63" s="65"/>
      <c r="AM63" s="65"/>
      <c r="AN63" s="65"/>
      <c r="AO63" s="65"/>
      <c r="AP63" s="122"/>
      <c r="AQ63" s="45">
        <f t="shared" si="2"/>
        <v>0</v>
      </c>
      <c r="AR63" s="45">
        <f t="shared" si="3"/>
        <v>0</v>
      </c>
      <c r="AS63">
        <f t="shared" si="4"/>
        <v>0</v>
      </c>
      <c r="AT63">
        <f t="shared" si="5"/>
        <v>0</v>
      </c>
      <c r="AU63">
        <f t="shared" si="6"/>
        <v>0</v>
      </c>
      <c r="AV63">
        <f t="shared" si="7"/>
        <v>0</v>
      </c>
    </row>
    <row r="64" spans="1:48" ht="13.5" thickBot="1" x14ac:dyDescent="0.25">
      <c r="A64" s="75"/>
      <c r="B64" s="76"/>
      <c r="C64" s="77"/>
      <c r="D64" s="78"/>
      <c r="E64" s="79"/>
      <c r="F64" s="80"/>
      <c r="G64" s="81"/>
      <c r="H64" s="49">
        <f t="shared" si="8"/>
        <v>890</v>
      </c>
      <c r="I64" s="82" t="e">
        <f>G64/(E64+(F64/60))</f>
        <v>#DIV/0!</v>
      </c>
      <c r="J64" s="83">
        <f>(SUM(G14:G64))/((SUM(E14:E64)+((SUM(F14:F64)/60))))</f>
        <v>9.9100346020761254</v>
      </c>
      <c r="K64" s="84"/>
      <c r="L64" s="78"/>
      <c r="M64" s="85"/>
      <c r="N64" s="86"/>
      <c r="O64" s="77"/>
      <c r="P64" s="87"/>
      <c r="Q64" s="88">
        <f t="shared" si="15"/>
        <v>113.08000000000001</v>
      </c>
      <c r="R64" s="89">
        <f t="shared" si="15"/>
        <v>0</v>
      </c>
      <c r="S64" s="90">
        <f t="shared" si="15"/>
        <v>64.399999999999991</v>
      </c>
      <c r="T64" s="91">
        <f t="shared" si="15"/>
        <v>0</v>
      </c>
      <c r="U64" s="92"/>
      <c r="V64" s="62">
        <f t="shared" si="9"/>
        <v>177</v>
      </c>
      <c r="W64" s="92"/>
      <c r="X64" s="93"/>
      <c r="Y64" s="93"/>
      <c r="Z64" s="93"/>
      <c r="AA64" s="94"/>
      <c r="AB64" s="95"/>
      <c r="AC64" s="92"/>
      <c r="AD64" s="96">
        <f t="shared" si="10"/>
        <v>7156</v>
      </c>
      <c r="AE64" s="77"/>
      <c r="AF64" s="96">
        <f t="shared" si="11"/>
        <v>14500</v>
      </c>
      <c r="AG64" s="77"/>
      <c r="AH64" s="96">
        <f t="shared" si="12"/>
        <v>1000</v>
      </c>
      <c r="AI64" s="77"/>
      <c r="AJ64" s="77"/>
      <c r="AK64" s="77"/>
      <c r="AL64" s="77"/>
      <c r="AM64" s="77"/>
      <c r="AN64" s="77"/>
      <c r="AO64" s="77"/>
      <c r="AP64" s="123"/>
      <c r="AQ64" s="45">
        <f t="shared" si="2"/>
        <v>0</v>
      </c>
      <c r="AR64" s="45">
        <f t="shared" si="3"/>
        <v>0</v>
      </c>
      <c r="AS64">
        <f t="shared" si="4"/>
        <v>0</v>
      </c>
      <c r="AT64">
        <f t="shared" si="5"/>
        <v>0</v>
      </c>
      <c r="AU64">
        <f t="shared" si="6"/>
        <v>0</v>
      </c>
      <c r="AV64">
        <f t="shared" si="7"/>
        <v>0</v>
      </c>
    </row>
    <row r="65" spans="1:48" ht="15" customHeight="1" thickBot="1" x14ac:dyDescent="0.25">
      <c r="A65" s="97" t="s">
        <v>59</v>
      </c>
      <c r="B65" s="98"/>
      <c r="C65" s="98"/>
      <c r="D65" s="98"/>
      <c r="E65" s="99">
        <f>SUM(E14:E64)</f>
        <v>71</v>
      </c>
      <c r="F65" s="100">
        <f>SUM(F14:F64)</f>
        <v>75</v>
      </c>
      <c r="G65" s="101">
        <f>SUM(G14:G64)</f>
        <v>716</v>
      </c>
      <c r="H65" s="98"/>
      <c r="I65" s="98"/>
      <c r="J65" s="98"/>
      <c r="K65" s="102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Y65" s="103">
        <f>(SUM(Y13:Y64))/((E65/24)+(F65/1440))</f>
        <v>5.3148788927335637</v>
      </c>
      <c r="AA65" s="103">
        <f>(SUM(AA13:AA64))/((E65/24)+(F65/1440))</f>
        <v>3.9861591695501728</v>
      </c>
      <c r="AB65" s="98"/>
      <c r="AC65" s="98"/>
      <c r="AD65" s="98"/>
      <c r="AE65" s="98"/>
      <c r="AF65" s="98"/>
      <c r="AG65" s="98"/>
      <c r="AH65" s="11"/>
      <c r="AI65" s="11"/>
      <c r="AJ65" s="11"/>
      <c r="AK65" s="11"/>
      <c r="AL65" s="11"/>
      <c r="AM65" s="11"/>
      <c r="AN65" s="11"/>
      <c r="AO65" s="11"/>
      <c r="AQ65" s="45">
        <f t="shared" ref="AQ65:AV65" si="16">SUM(AQ14:AQ64)</f>
        <v>716</v>
      </c>
      <c r="AR65" s="45">
        <f t="shared" si="16"/>
        <v>72.25</v>
      </c>
      <c r="AS65">
        <f t="shared" si="16"/>
        <v>70.240000000000009</v>
      </c>
      <c r="AT65">
        <f t="shared" si="16"/>
        <v>0</v>
      </c>
      <c r="AU65">
        <f t="shared" si="16"/>
        <v>0.8</v>
      </c>
      <c r="AV65">
        <f t="shared" si="16"/>
        <v>0</v>
      </c>
    </row>
    <row r="66" spans="1:48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R66" s="45">
        <f>AQ65/AR65</f>
        <v>9.9100346020761254</v>
      </c>
    </row>
    <row r="67" spans="1:48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</row>
  </sheetData>
  <sheetProtection algorithmName="SHA-512" hashValue="KG66qxuxdOQ7oq63icoyBjXd9S3qkojeBzj7H1mV2gIpYl5psttch5Qg98mF8zO2k0vSPcdqIQ23jAnvTG50Kw==" saltValue="HS0sJko0w5mR4KYqjJYKRA==" spinCount="100000" sheet="1" objects="1" scenarios="1" selectLockedCells="1"/>
  <mergeCells count="108">
    <mergeCell ref="AO11:AO12"/>
    <mergeCell ref="AI11:AI12"/>
    <mergeCell ref="AJ11:AJ12"/>
    <mergeCell ref="AK11:AK12"/>
    <mergeCell ref="AL11:AL12"/>
    <mergeCell ref="AI10:AL10"/>
    <mergeCell ref="Z5:AA5"/>
    <mergeCell ref="Z6:AA6"/>
    <mergeCell ref="X5:Y5"/>
    <mergeCell ref="X6:Y6"/>
    <mergeCell ref="X7:Y7"/>
    <mergeCell ref="Z7:AA7"/>
    <mergeCell ref="AM11:AM12"/>
    <mergeCell ref="AN11:AN12"/>
    <mergeCell ref="E13:G13"/>
    <mergeCell ref="I13:K13"/>
    <mergeCell ref="M13:P13"/>
    <mergeCell ref="J10:J12"/>
    <mergeCell ref="K10:K12"/>
    <mergeCell ref="L10:L12"/>
    <mergeCell ref="M10:P10"/>
    <mergeCell ref="X13:AA13"/>
    <mergeCell ref="C7:F7"/>
    <mergeCell ref="T5:V5"/>
    <mergeCell ref="T6:V6"/>
    <mergeCell ref="Y11:Y12"/>
    <mergeCell ref="Z11:Z12"/>
    <mergeCell ref="AA11:AA12"/>
    <mergeCell ref="AP10:AP12"/>
    <mergeCell ref="C11:C12"/>
    <mergeCell ref="D11:D12"/>
    <mergeCell ref="E11:E12"/>
    <mergeCell ref="F11:F12"/>
    <mergeCell ref="G11:G12"/>
    <mergeCell ref="M11:N11"/>
    <mergeCell ref="O11:P11"/>
    <mergeCell ref="Q11:R11"/>
    <mergeCell ref="W10:W12"/>
    <mergeCell ref="X10:Y10"/>
    <mergeCell ref="Z10:AA10"/>
    <mergeCell ref="AB10:AB12"/>
    <mergeCell ref="AC10:AD10"/>
    <mergeCell ref="AH11:AH12"/>
    <mergeCell ref="Q10:T10"/>
    <mergeCell ref="S11:T11"/>
    <mergeCell ref="I10:I12"/>
    <mergeCell ref="AM10:AO10"/>
    <mergeCell ref="A10:A12"/>
    <mergeCell ref="B10:B12"/>
    <mergeCell ref="C10:D10"/>
    <mergeCell ref="E10:G10"/>
    <mergeCell ref="H10:H12"/>
    <mergeCell ref="AF7:AG7"/>
    <mergeCell ref="AD8:AE8"/>
    <mergeCell ref="AF8:AG8"/>
    <mergeCell ref="U11:U12"/>
    <mergeCell ref="V11:V12"/>
    <mergeCell ref="AE10:AF10"/>
    <mergeCell ref="AD11:AD12"/>
    <mergeCell ref="AE11:AE12"/>
    <mergeCell ref="AF11:AF12"/>
    <mergeCell ref="AG11:AG12"/>
    <mergeCell ref="T8:V8"/>
    <mergeCell ref="X8:Y8"/>
    <mergeCell ref="Z8:AA8"/>
    <mergeCell ref="AG10:AH10"/>
    <mergeCell ref="T7:V7"/>
    <mergeCell ref="U10:V10"/>
    <mergeCell ref="A7:B7"/>
    <mergeCell ref="AC11:AC12"/>
    <mergeCell ref="X11:X12"/>
    <mergeCell ref="A6:B6"/>
    <mergeCell ref="C6:F6"/>
    <mergeCell ref="G6:L6"/>
    <mergeCell ref="M6:R6"/>
    <mergeCell ref="A5:B5"/>
    <mergeCell ref="C5:F5"/>
    <mergeCell ref="G5:H5"/>
    <mergeCell ref="I5:L5"/>
    <mergeCell ref="M5:N5"/>
    <mergeCell ref="O5:R5"/>
    <mergeCell ref="A4:B4"/>
    <mergeCell ref="C4:F4"/>
    <mergeCell ref="G4:H4"/>
    <mergeCell ref="I4:L4"/>
    <mergeCell ref="M4:N4"/>
    <mergeCell ref="O4:R4"/>
    <mergeCell ref="T4:U4"/>
    <mergeCell ref="V4:W4"/>
    <mergeCell ref="X4:AA4"/>
    <mergeCell ref="T2:U2"/>
    <mergeCell ref="V2:W2"/>
    <mergeCell ref="X2:AA2"/>
    <mergeCell ref="A3:B3"/>
    <mergeCell ref="C3:F3"/>
    <mergeCell ref="G3:H3"/>
    <mergeCell ref="I3:L3"/>
    <mergeCell ref="M3:N3"/>
    <mergeCell ref="O3:R3"/>
    <mergeCell ref="A2:B2"/>
    <mergeCell ref="C2:F2"/>
    <mergeCell ref="G2:H2"/>
    <mergeCell ref="I2:L2"/>
    <mergeCell ref="M2:N2"/>
    <mergeCell ref="O2:R2"/>
    <mergeCell ref="T3:U3"/>
    <mergeCell ref="V3:W3"/>
    <mergeCell ref="X3:AA3"/>
  </mergeCells>
  <conditionalFormatting sqref="Y14:Y64 AA14:AA64">
    <cfRule type="cellIs" dxfId="0" priority="1" operator="greaterThan">
      <formula>$X$9</formula>
    </cfRule>
  </conditionalFormatting>
  <pageMargins left="0" right="0" top="0" bottom="0" header="0" footer="0"/>
  <pageSetup paperSize="9" scale="39" orientation="landscape" r:id="rId1"/>
  <headerFooter>
    <oddFooter xml:space="preserve">&amp;L&amp;14
&amp;C&amp;14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B4:B15"/>
  <sheetViews>
    <sheetView workbookViewId="0">
      <selection activeCell="H28" sqref="H28"/>
    </sheetView>
  </sheetViews>
  <sheetFormatPr defaultRowHeight="12.75" x14ac:dyDescent="0.2"/>
  <sheetData>
    <row r="4" spans="2:2" x14ac:dyDescent="0.2">
      <c r="B4" t="s">
        <v>71</v>
      </c>
    </row>
    <row r="5" spans="2:2" x14ac:dyDescent="0.2">
      <c r="B5" t="s">
        <v>72</v>
      </c>
    </row>
    <row r="6" spans="2:2" x14ac:dyDescent="0.2">
      <c r="B6" t="s">
        <v>73</v>
      </c>
    </row>
    <row r="8" spans="2:2" x14ac:dyDescent="0.2">
      <c r="B8" t="s">
        <v>74</v>
      </c>
    </row>
    <row r="9" spans="2:2" x14ac:dyDescent="0.2">
      <c r="B9" t="s">
        <v>75</v>
      </c>
    </row>
    <row r="11" spans="2:2" x14ac:dyDescent="0.2">
      <c r="B11" t="s">
        <v>76</v>
      </c>
    </row>
    <row r="12" spans="2:2" x14ac:dyDescent="0.2">
      <c r="B12" t="s">
        <v>77</v>
      </c>
    </row>
    <row r="14" spans="2:2" x14ac:dyDescent="0.2">
      <c r="B14" t="s">
        <v>78</v>
      </c>
    </row>
    <row r="15" spans="2:2" x14ac:dyDescent="0.2">
      <c r="B1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2:B11"/>
  <sheetViews>
    <sheetView view="pageLayout" zoomScaleNormal="100" workbookViewId="0">
      <selection activeCell="C15" sqref="C15"/>
    </sheetView>
  </sheetViews>
  <sheetFormatPr defaultRowHeight="12.75" x14ac:dyDescent="0.2"/>
  <sheetData>
    <row r="2" spans="2:2" x14ac:dyDescent="0.2">
      <c r="B2" t="s">
        <v>65</v>
      </c>
    </row>
    <row r="3" spans="2:2" x14ac:dyDescent="0.2">
      <c r="B3" t="s">
        <v>66</v>
      </c>
    </row>
    <row r="5" spans="2:2" x14ac:dyDescent="0.2">
      <c r="B5" t="s">
        <v>67</v>
      </c>
    </row>
    <row r="7" spans="2:2" x14ac:dyDescent="0.2">
      <c r="B7" t="s">
        <v>68</v>
      </c>
    </row>
    <row r="8" spans="2:2" x14ac:dyDescent="0.2">
      <c r="B8" t="s">
        <v>69</v>
      </c>
    </row>
    <row r="11" spans="2:2" x14ac:dyDescent="0.2">
      <c r="B11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NOON REPORT</vt:lpstr>
      <vt:lpstr>ECA</vt:lpstr>
      <vt:lpstr>SINGAPORE 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Ozer</dc:creator>
  <cp:lastModifiedBy>Transoba Office</cp:lastModifiedBy>
  <cp:lastPrinted>2023-05-10T13:25:47Z</cp:lastPrinted>
  <dcterms:created xsi:type="dcterms:W3CDTF">2012-04-09T11:35:21Z</dcterms:created>
  <dcterms:modified xsi:type="dcterms:W3CDTF">2026-03-28T05:37:22Z</dcterms:modified>
</cp:coreProperties>
</file>